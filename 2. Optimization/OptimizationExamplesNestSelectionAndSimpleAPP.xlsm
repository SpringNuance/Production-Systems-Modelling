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\\home.org.aalto.fi\eniemi\data\Documents\Kurssit\MEC-E7001\"/>
    </mc:Choice>
  </mc:AlternateContent>
  <xr:revisionPtr revIDLastSave="0" documentId="8_{65330162-10B2-40AC-87AC-BAA0C1E4ED64}" xr6:coauthVersionLast="47" xr6:coauthVersionMax="47" xr10:uidLastSave="{00000000-0000-0000-0000-000000000000}"/>
  <bookViews>
    <workbookView xWindow="-110" yWindow="-110" windowWidth="19420" windowHeight="10420" tabRatio="598" xr2:uid="{00000000-000D-0000-FFFF-FFFF00000000}"/>
  </bookViews>
  <sheets>
    <sheet name="Nest selection small" sheetId="33" r:id="rId1"/>
    <sheet name="Nest selection large" sheetId="28" r:id="rId2"/>
    <sheet name="AggregatePlanningProdCtrlExmpl" sheetId="34" r:id="rId3"/>
  </sheets>
  <definedNames>
    <definedName name="anscount" hidden="1">1</definedName>
    <definedName name="limcount" hidden="1">1</definedName>
    <definedName name="lslpeng_crash" localSheetId="2" hidden="1">0</definedName>
    <definedName name="OpenSolver_ChosenSolver" localSheetId="2" hidden="1">CBC</definedName>
    <definedName name="OpenSolver_DualsNewSheet" localSheetId="2" hidden="1">0</definedName>
    <definedName name="OpenSolver_LinearityCheck" localSheetId="2" hidden="1">1</definedName>
    <definedName name="sencount" hidden="1">1</definedName>
    <definedName name="solver_adj" localSheetId="2" hidden="1">AggregatePlanningProdCtrlExmpl!$E$13:$Y$18,AggregatePlanningProdCtrlExmpl!$AK$13:$AK$18</definedName>
    <definedName name="solver_adj" localSheetId="1" hidden="1">'Nest selection large'!$C$63:$BJ$63</definedName>
    <definedName name="solver_adj" localSheetId="0" hidden="1">'Nest selection small'!$C$23:$V$23</definedName>
    <definedName name="solver_cct" localSheetId="2" hidden="1">20</definedName>
    <definedName name="solver_cct" localSheetId="1" hidden="1">20</definedName>
    <definedName name="solver_cct" localSheetId="0" hidden="1">20</definedName>
    <definedName name="solver_cgt" localSheetId="2" hidden="1">1</definedName>
    <definedName name="solver_cgt" localSheetId="1" hidden="1">1</definedName>
    <definedName name="solver_cgt" localSheetId="0" hidden="1">1</definedName>
    <definedName name="solver_cir1" localSheetId="2" hidden="1">1</definedName>
    <definedName name="solver_cir1" localSheetId="1" hidden="1">1</definedName>
    <definedName name="solver_cir1" localSheetId="0" hidden="1">1</definedName>
    <definedName name="solver_cir10" localSheetId="2" hidden="1">1</definedName>
    <definedName name="solver_cir11" localSheetId="2" hidden="1">1</definedName>
    <definedName name="solver_cir12" localSheetId="2" hidden="1">1</definedName>
    <definedName name="solver_cir2" localSheetId="2" hidden="1">1</definedName>
    <definedName name="solver_cir2" localSheetId="1" hidden="1">1</definedName>
    <definedName name="solver_cir2" localSheetId="0" hidden="1">1</definedName>
    <definedName name="solver_cir3" localSheetId="2" hidden="1">1</definedName>
    <definedName name="solver_cir3" localSheetId="1" hidden="1">1</definedName>
    <definedName name="solver_cir3" localSheetId="0" hidden="1">1</definedName>
    <definedName name="solver_cir4" localSheetId="2" hidden="1">1</definedName>
    <definedName name="solver_cir5" localSheetId="2" hidden="1">1</definedName>
    <definedName name="solver_cir6" localSheetId="2" hidden="1">1</definedName>
    <definedName name="solver_cir7" localSheetId="2" hidden="1">1</definedName>
    <definedName name="solver_cir8" localSheetId="2" hidden="1">1</definedName>
    <definedName name="solver_cir9" localSheetId="2" hidden="1">1</definedName>
    <definedName name="solver_cvg" localSheetId="2" hidden="1">0.0001</definedName>
    <definedName name="solver_cvg" localSheetId="1" hidden="1">0.001</definedName>
    <definedName name="solver_cvg" localSheetId="0" hidden="1">0.001</definedName>
    <definedName name="solver_dia" localSheetId="2" hidden="1">4</definedName>
    <definedName name="solver_dia" localSheetId="1" hidden="1">4</definedName>
    <definedName name="solver_dia" localSheetId="0" hidden="1">4</definedName>
    <definedName name="solver_drv" localSheetId="2" hidden="1">1</definedName>
    <definedName name="solver_drv" localSheetId="1" hidden="1">1</definedName>
    <definedName name="solver_drv" localSheetId="0" hidden="1">1</definedName>
    <definedName name="solver_dua" localSheetId="2" hidden="1">1</definedName>
    <definedName name="solver_dua" localSheetId="1" hidden="1">1</definedName>
    <definedName name="solver_dua" localSheetId="0" hidden="1">1</definedName>
    <definedName name="solver_eng" localSheetId="2" hidden="1">2</definedName>
    <definedName name="solver_eng" localSheetId="1" hidden="1">2</definedName>
    <definedName name="solver_eng" localSheetId="0" hidden="1">2</definedName>
    <definedName name="solver_est" localSheetId="2" hidden="1">1</definedName>
    <definedName name="solver_est" localSheetId="1" hidden="1">1</definedName>
    <definedName name="solver_est" localSheetId="0" hidden="1">1</definedName>
    <definedName name="solver_fns" localSheetId="2" hidden="1">0</definedName>
    <definedName name="solver_gct" localSheetId="2" hidden="1">20</definedName>
    <definedName name="solver_gct" localSheetId="1" hidden="1">20</definedName>
    <definedName name="solver_gct" localSheetId="0" hidden="1">20</definedName>
    <definedName name="solver_gop" localSheetId="2" hidden="1">1</definedName>
    <definedName name="solver_gop" localSheetId="1" hidden="1">1</definedName>
    <definedName name="solver_gop" localSheetId="0" hidden="1">1</definedName>
    <definedName name="solver_iao" localSheetId="2" hidden="1">0</definedName>
    <definedName name="solver_iao" localSheetId="1" hidden="1">0</definedName>
    <definedName name="solver_iao" localSheetId="0" hidden="1">0</definedName>
    <definedName name="solver_ibd" localSheetId="2" hidden="1">2</definedName>
    <definedName name="solver_ibd" localSheetId="1" hidden="1">2</definedName>
    <definedName name="solver_ibd" localSheetId="0" hidden="1">2</definedName>
    <definedName name="solver_ifs" localSheetId="2" hidden="1">0</definedName>
    <definedName name="solver_ifs" localSheetId="1" hidden="1">0</definedName>
    <definedName name="solver_ifs" localSheetId="0" hidden="1">0</definedName>
    <definedName name="solver_irs" localSheetId="2" hidden="1">0</definedName>
    <definedName name="solver_irs" localSheetId="1" hidden="1">0</definedName>
    <definedName name="solver_irs" localSheetId="0" hidden="1">0</definedName>
    <definedName name="solver_ism" localSheetId="2" hidden="1">0</definedName>
    <definedName name="solver_ism" localSheetId="1" hidden="1">0</definedName>
    <definedName name="solver_ism" localSheetId="0" hidden="1">0</definedName>
    <definedName name="solver_itr" localSheetId="2" hidden="1">1000</definedName>
    <definedName name="solver_itr" localSheetId="1" hidden="1">10000</definedName>
    <definedName name="solver_itr" localSheetId="0" hidden="1">10000</definedName>
    <definedName name="solver_lhs1" localSheetId="2" hidden="1">AggregatePlanningProdCtrlExmpl!$AH$13:$AH$18</definedName>
    <definedName name="solver_lhs1" localSheetId="1" hidden="1">'Nest selection large'!$BO$3:$BO$62</definedName>
    <definedName name="solver_lhs1" localSheetId="0" hidden="1">'Nest selection small'!$AA$3:$AA$22</definedName>
    <definedName name="solver_lhs10" localSheetId="2" hidden="1">AggregatePlanningProdCtrlExmpl!$E$13:$Y$18</definedName>
    <definedName name="solver_lhs11" localSheetId="2" hidden="1">AggregatePlanningProdCtrlExmpl!$E$20:$Y$25</definedName>
    <definedName name="solver_lhs12" localSheetId="2" hidden="1">AggregatePlanningProdCtrlExmpl!$E$3:$Y$8</definedName>
    <definedName name="solver_lhs2" localSheetId="2" hidden="1">AggregatePlanningProdCtrlExmpl!$AJ$13:$AJ$18</definedName>
    <definedName name="solver_lhs2" localSheetId="1" hidden="1">'Nest selection large'!$C$63:$BJ$63</definedName>
    <definedName name="solver_lhs2" localSheetId="0" hidden="1">'Nest selection small'!$C$23:$V$23</definedName>
    <definedName name="solver_lhs3" localSheetId="2" hidden="1">AggregatePlanningProdCtrlExmpl!$B$3:$B$8</definedName>
    <definedName name="solver_lhs3" localSheetId="1" hidden="1">'Nest selection large'!$BN$65:$BN$84</definedName>
    <definedName name="solver_lhs3" localSheetId="0" hidden="1">'Nest selection small'!$Z$25:$Z$44</definedName>
    <definedName name="solver_lhs4" localSheetId="2" hidden="1">AggregatePlanningProdCtrlExmpl!$E$13:$Y$18</definedName>
    <definedName name="solver_lhs5" localSheetId="2" hidden="1">AggregatePlanningProdCtrlExmpl!$E$9:$Y$9</definedName>
    <definedName name="solver_lhs6" localSheetId="2" hidden="1">AggregatePlanningProdCtrlExmpl!$AI$13:$AI$18</definedName>
    <definedName name="solver_lhs7" localSheetId="2" hidden="1">AggregatePlanningProdCtrlExmpl!#REF!</definedName>
    <definedName name="solver_lhs8" localSheetId="2" hidden="1">AggregatePlanningProdCtrlExmpl!$E$13:$Y$18</definedName>
    <definedName name="solver_lhs9" localSheetId="2" hidden="1">AggregatePlanningProdCtrlExmpl!$E$13:$Y$18</definedName>
    <definedName name="solver_lin" localSheetId="2" hidden="1">1</definedName>
    <definedName name="solver_lin" localSheetId="1" hidden="1">1</definedName>
    <definedName name="solver_lin" localSheetId="0" hidden="1">1</definedName>
    <definedName name="solver_loc" localSheetId="2" hidden="1">4</definedName>
    <definedName name="solver_lva" localSheetId="2" hidden="1">2</definedName>
    <definedName name="solver_mip" localSheetId="2" hidden="1">1000</definedName>
    <definedName name="solver_mip" localSheetId="1" hidden="1">5000</definedName>
    <definedName name="solver_mip" localSheetId="0" hidden="1">5000</definedName>
    <definedName name="solver_mni" localSheetId="2" hidden="1">30</definedName>
    <definedName name="solver_mni" localSheetId="1" hidden="1">30</definedName>
    <definedName name="solver_mni" localSheetId="0" hidden="1">30</definedName>
    <definedName name="solver_mod" localSheetId="2" hidden="1">4</definedName>
    <definedName name="solver_mod" localSheetId="1" hidden="1">4</definedName>
    <definedName name="solver_mod" localSheetId="0" hidden="1">4</definedName>
    <definedName name="solver_mrt" localSheetId="2" hidden="1">0.075</definedName>
    <definedName name="solver_mrt" localSheetId="1" hidden="1">0.075</definedName>
    <definedName name="solver_mrt" localSheetId="0" hidden="1">0.075</definedName>
    <definedName name="solver_msl" localSheetId="2" hidden="1">2</definedName>
    <definedName name="solver_msl" localSheetId="0" hidden="1">2</definedName>
    <definedName name="solver_neg" localSheetId="2" hidden="1">1</definedName>
    <definedName name="solver_neg" localSheetId="1" hidden="1">1</definedName>
    <definedName name="solver_neg" localSheetId="0" hidden="1">1</definedName>
    <definedName name="solver_nod" localSheetId="2" hidden="1">1000</definedName>
    <definedName name="solver_nod" localSheetId="1" hidden="1">5000</definedName>
    <definedName name="solver_nod" localSheetId="0" hidden="1">5000</definedName>
    <definedName name="solver_num" localSheetId="2" hidden="1">5</definedName>
    <definedName name="solver_num" localSheetId="1" hidden="1">2</definedName>
    <definedName name="solver_num" localSheetId="0" hidden="1">2</definedName>
    <definedName name="solver_nwt" localSheetId="2" hidden="1">1</definedName>
    <definedName name="solver_nwt" localSheetId="1" hidden="1">1</definedName>
    <definedName name="solver_nwt" localSheetId="0" hidden="1">1</definedName>
    <definedName name="solver_ofx" localSheetId="2" hidden="1">2</definedName>
    <definedName name="solver_ofx" localSheetId="1" hidden="1">2</definedName>
    <definedName name="solver_ofx" localSheetId="0" hidden="1">2</definedName>
    <definedName name="solver_opt" localSheetId="2" hidden="1">AggregatePlanningProdCtrlExmpl!$AK$19</definedName>
    <definedName name="solver_opt" localSheetId="1" hidden="1">'Nest selection large'!$BP$63</definedName>
    <definedName name="solver_opt" localSheetId="0" hidden="1">'Nest selection small'!$AB$23</definedName>
    <definedName name="solver_phr" localSheetId="2" hidden="1">2</definedName>
    <definedName name="solver_phr" localSheetId="1" hidden="1">2</definedName>
    <definedName name="solver_phr" localSheetId="0" hidden="1">2</definedName>
    <definedName name="solver_piv" localSheetId="2" hidden="1">0.000001</definedName>
    <definedName name="solver_piv" localSheetId="1" hidden="1">0.000001</definedName>
    <definedName name="solver_piv" localSheetId="0" hidden="1">0.000001</definedName>
    <definedName name="solver_pre" localSheetId="2" hidden="1">0.00000001</definedName>
    <definedName name="solver_pre" localSheetId="1" hidden="1">0.000000001</definedName>
    <definedName name="solver_pre" localSheetId="0" hidden="1">0.000000001</definedName>
    <definedName name="solver_pro" localSheetId="2" hidden="1">2</definedName>
    <definedName name="solver_pro" localSheetId="1" hidden="1">2</definedName>
    <definedName name="solver_pro" localSheetId="0" hidden="1">2</definedName>
    <definedName name="solver_rbv" localSheetId="2" hidden="1">1</definedName>
    <definedName name="solver_rbv" localSheetId="1" hidden="1">1</definedName>
    <definedName name="solver_rbv" localSheetId="0" hidden="1">1</definedName>
    <definedName name="solver_rdp" localSheetId="2" hidden="1">0</definedName>
    <definedName name="solver_rdp" localSheetId="1" hidden="1">0</definedName>
    <definedName name="solver_rdp" localSheetId="0" hidden="1">0</definedName>
    <definedName name="solver_red" localSheetId="2" hidden="1">0.000001</definedName>
    <definedName name="solver_red" localSheetId="1" hidden="1">0.000001</definedName>
    <definedName name="solver_red" localSheetId="0" hidden="1">0.000001</definedName>
    <definedName name="solver_rel1" localSheetId="2" hidden="1">2</definedName>
    <definedName name="solver_rel1" localSheetId="1" hidden="1">3</definedName>
    <definedName name="solver_rel1" localSheetId="0" hidden="1">3</definedName>
    <definedName name="solver_rel10" localSheetId="2" hidden="1">5</definedName>
    <definedName name="solver_rel11" localSheetId="2" hidden="1">3</definedName>
    <definedName name="solver_rel12" localSheetId="2" hidden="1">5</definedName>
    <definedName name="solver_rel2" localSheetId="2" hidden="1">1</definedName>
    <definedName name="solver_rel2" localSheetId="1" hidden="1">4</definedName>
    <definedName name="solver_rel2" localSheetId="0" hidden="1">4</definedName>
    <definedName name="solver_rel3" localSheetId="2" hidden="1">2</definedName>
    <definedName name="solver_rel3" localSheetId="1" hidden="1">1</definedName>
    <definedName name="solver_rel3" localSheetId="0" hidden="1">1</definedName>
    <definedName name="solver_rel4" localSheetId="2" hidden="1">5</definedName>
    <definedName name="solver_rel5" localSheetId="2" hidden="1">1</definedName>
    <definedName name="solver_rel6" localSheetId="2" hidden="1">3</definedName>
    <definedName name="solver_rel7" localSheetId="2" hidden="1">3</definedName>
    <definedName name="solver_rel8" localSheetId="2" hidden="1">5</definedName>
    <definedName name="solver_rel9" localSheetId="2" hidden="1">5</definedName>
    <definedName name="solver_reo" localSheetId="2" hidden="1">1</definedName>
    <definedName name="solver_reo" localSheetId="1" hidden="1">2</definedName>
    <definedName name="solver_reo" localSheetId="0" hidden="1">2</definedName>
    <definedName name="solver_rep" localSheetId="2" hidden="1">2</definedName>
    <definedName name="solver_rep" localSheetId="1" hidden="1">2</definedName>
    <definedName name="solver_rep" localSheetId="0" hidden="1">2</definedName>
    <definedName name="solver_rhs1" localSheetId="2" hidden="1">1</definedName>
    <definedName name="solver_rhs1" localSheetId="1" hidden="1">0</definedName>
    <definedName name="solver_rhs1" localSheetId="0" hidden="1">0</definedName>
    <definedName name="solver_rhs10" localSheetId="2" hidden="1">binary</definedName>
    <definedName name="solver_rhs11" localSheetId="2" hidden="1">0</definedName>
    <definedName name="solver_rhs12" localSheetId="2" hidden="1">binary</definedName>
    <definedName name="solver_rhs2" localSheetId="2" hidden="1">AggregatePlanningProdCtrlExmpl!$AK$13:$AK$18</definedName>
    <definedName name="solver_rhs2" localSheetId="1" hidden="1">integer</definedName>
    <definedName name="solver_rhs2" localSheetId="0" hidden="1">heltal</definedName>
    <definedName name="solver_rhs3" localSheetId="2" hidden="1">AggregatePlanningProdCtrlExmpl!$C$3:$C$8</definedName>
    <definedName name="solver_rhs3" localSheetId="1" hidden="1">'Nest selection large'!#REF!</definedName>
    <definedName name="solver_rhs3" localSheetId="0" hidden="1">'Nest selection small'!#REF!</definedName>
    <definedName name="solver_rhs4" localSheetId="2" hidden="1">"binary"</definedName>
    <definedName name="solver_rhs5" localSheetId="2" hidden="1">AggregatePlanningProdCtrlExmpl!$AJ$9</definedName>
    <definedName name="solver_rhs6" localSheetId="2" hidden="1">AggregatePlanningProdCtrlExmpl!$AK$13:$AK$18</definedName>
    <definedName name="solver_rhs7" localSheetId="2" hidden="1">0</definedName>
    <definedName name="solver_rhs8" localSheetId="2" hidden="1">binary</definedName>
    <definedName name="solver_rhs9" localSheetId="2" hidden="1">binary</definedName>
    <definedName name="solver_rlx" localSheetId="2" hidden="1">2</definedName>
    <definedName name="solver_rlx" localSheetId="1" hidden="1">2</definedName>
    <definedName name="solver_rlx" localSheetId="0" hidden="1">2</definedName>
    <definedName name="solver_rsd" localSheetId="2" hidden="1">0</definedName>
    <definedName name="solver_rsd" localSheetId="0" hidden="1">0</definedName>
    <definedName name="solver_rsp" localSheetId="2" hidden="1">0</definedName>
    <definedName name="solver_rsp" localSheetId="1" hidden="1">0</definedName>
    <definedName name="solver_rsp" localSheetId="0" hidden="1">0</definedName>
    <definedName name="solver_scl" localSheetId="2" hidden="1">2</definedName>
    <definedName name="solver_scl" localSheetId="1" hidden="1">2</definedName>
    <definedName name="solver_scl" localSheetId="0" hidden="1">2</definedName>
    <definedName name="solver_sel" localSheetId="2" hidden="1">1</definedName>
    <definedName name="solver_sel" localSheetId="1" hidden="1">1</definedName>
    <definedName name="solver_sel" localSheetId="0" hidden="1">1</definedName>
    <definedName name="solver_sho" localSheetId="2" hidden="1">2</definedName>
    <definedName name="solver_sho" localSheetId="1" hidden="1">2</definedName>
    <definedName name="solver_sho" localSheetId="0" hidden="1">2</definedName>
    <definedName name="solver_sol" localSheetId="2" hidden="1">0.0001</definedName>
    <definedName name="solver_ssz" localSheetId="2" hidden="1">0</definedName>
    <definedName name="solver_ssz" localSheetId="1" hidden="1">100</definedName>
    <definedName name="solver_ssz" localSheetId="0" hidden="1">100</definedName>
    <definedName name="solver_tim" localSheetId="2" hidden="1">100</definedName>
    <definedName name="solver_tim" localSheetId="1" hidden="1">3600</definedName>
    <definedName name="solver_tim" localSheetId="0" hidden="1">3600</definedName>
    <definedName name="solver_tms" localSheetId="2" hidden="1">2</definedName>
    <definedName name="solver_tol" localSheetId="2" hidden="1">0.01</definedName>
    <definedName name="solver_tol" localSheetId="1" hidden="1">0.01</definedName>
    <definedName name="solver_tol" localSheetId="0" hidden="1">0.01</definedName>
    <definedName name="solver_typ" localSheetId="2" hidden="1">2</definedName>
    <definedName name="solver_typ" localSheetId="1" hidden="1">2</definedName>
    <definedName name="solver_typ" localSheetId="0" hidden="1">2</definedName>
    <definedName name="solver_val" localSheetId="2" hidden="1">0</definedName>
    <definedName name="solver_val" localSheetId="1" hidden="1">0</definedName>
    <definedName name="solver_val" localSheetId="0" hidden="1">0</definedName>
    <definedName name="solver_ver" localSheetId="2" hidden="1">3</definedName>
    <definedName name="solver_ver" localSheetId="1" hidden="1">2</definedName>
    <definedName name="solver_ver" localSheetId="0" hidden="1">3</definedName>
    <definedName name="solver_vir" localSheetId="2" hidden="1">1</definedName>
    <definedName name="solver_vir" localSheetId="1" hidden="1">1</definedName>
    <definedName name="solver_vir" localSheetId="0" hidden="1">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19" i="34" l="1"/>
  <c r="AH18" i="34"/>
  <c r="AH17" i="34"/>
  <c r="AH16" i="34"/>
  <c r="AH15" i="34"/>
  <c r="A15" i="34"/>
  <c r="A16" i="34" s="1"/>
  <c r="A17" i="34" s="1"/>
  <c r="A18" i="34" s="1"/>
  <c r="AH14" i="34"/>
  <c r="A14" i="34"/>
  <c r="AH13" i="34"/>
  <c r="H12" i="34"/>
  <c r="I12" i="34" s="1"/>
  <c r="J12" i="34" s="1"/>
  <c r="K12" i="34" s="1"/>
  <c r="L12" i="34" s="1"/>
  <c r="M12" i="34" s="1"/>
  <c r="N12" i="34" s="1"/>
  <c r="O12" i="34" s="1"/>
  <c r="P12" i="34" s="1"/>
  <c r="Q12" i="34" s="1"/>
  <c r="R12" i="34" s="1"/>
  <c r="S12" i="34" s="1"/>
  <c r="T12" i="34" s="1"/>
  <c r="U12" i="34" s="1"/>
  <c r="V12" i="34" s="1"/>
  <c r="W12" i="34" s="1"/>
  <c r="X12" i="34" s="1"/>
  <c r="Y12" i="34" s="1"/>
  <c r="G12" i="34"/>
  <c r="F12" i="34"/>
  <c r="Y8" i="34"/>
  <c r="X8" i="34"/>
  <c r="W8" i="34"/>
  <c r="V8" i="34"/>
  <c r="U8" i="34"/>
  <c r="T8" i="34"/>
  <c r="S8" i="34"/>
  <c r="R8" i="34"/>
  <c r="Q8" i="34"/>
  <c r="P8" i="34"/>
  <c r="O8" i="34"/>
  <c r="N8" i="34"/>
  <c r="M8" i="34"/>
  <c r="L8" i="34"/>
  <c r="K8" i="34"/>
  <c r="J8" i="34"/>
  <c r="I8" i="34"/>
  <c r="H8" i="34"/>
  <c r="C8" i="34" s="1"/>
  <c r="G8" i="34"/>
  <c r="F8" i="34"/>
  <c r="E8" i="34"/>
  <c r="Y7" i="34"/>
  <c r="X7" i="34"/>
  <c r="W7" i="34"/>
  <c r="V7" i="34"/>
  <c r="U7" i="34"/>
  <c r="T7" i="34"/>
  <c r="S7" i="34"/>
  <c r="R7" i="34"/>
  <c r="Q7" i="34"/>
  <c r="P7" i="34"/>
  <c r="O7" i="34"/>
  <c r="N7" i="34"/>
  <c r="M7" i="34"/>
  <c r="L7" i="34"/>
  <c r="K7" i="34"/>
  <c r="J7" i="34"/>
  <c r="I7" i="34"/>
  <c r="H7" i="34"/>
  <c r="G7" i="34"/>
  <c r="C7" i="34" s="1"/>
  <c r="F7" i="34"/>
  <c r="E7" i="34"/>
  <c r="Y6" i="34"/>
  <c r="X6" i="34"/>
  <c r="W6" i="34"/>
  <c r="V6" i="34"/>
  <c r="U6" i="34"/>
  <c r="T6" i="34"/>
  <c r="S6" i="34"/>
  <c r="R6" i="34"/>
  <c r="Q6" i="34"/>
  <c r="P6" i="34"/>
  <c r="O6" i="34"/>
  <c r="N6" i="34"/>
  <c r="M6" i="34"/>
  <c r="L6" i="34"/>
  <c r="K6" i="34"/>
  <c r="J6" i="34"/>
  <c r="I6" i="34"/>
  <c r="H6" i="34"/>
  <c r="G6" i="34"/>
  <c r="F6" i="34"/>
  <c r="E6" i="34"/>
  <c r="C6" i="34" s="1"/>
  <c r="Y5" i="34"/>
  <c r="X5" i="34"/>
  <c r="W5" i="34"/>
  <c r="V5" i="34"/>
  <c r="U5" i="34"/>
  <c r="T5" i="34"/>
  <c r="S5" i="34"/>
  <c r="R5" i="34"/>
  <c r="Q5" i="34"/>
  <c r="P5" i="34"/>
  <c r="O5" i="34"/>
  <c r="N5" i="34"/>
  <c r="M5" i="34"/>
  <c r="L5" i="34"/>
  <c r="K5" i="34"/>
  <c r="J5" i="34"/>
  <c r="I5" i="34"/>
  <c r="H5" i="34"/>
  <c r="G5" i="34"/>
  <c r="F5" i="34"/>
  <c r="E5" i="34"/>
  <c r="C5" i="34" s="1"/>
  <c r="Y4" i="34"/>
  <c r="X4" i="34"/>
  <c r="W4" i="34"/>
  <c r="V4" i="34"/>
  <c r="U4" i="34"/>
  <c r="T4" i="34"/>
  <c r="S4" i="34"/>
  <c r="R4" i="34"/>
  <c r="Q4" i="34"/>
  <c r="P4" i="34"/>
  <c r="O4" i="34"/>
  <c r="N4" i="34"/>
  <c r="M4" i="34"/>
  <c r="L4" i="34"/>
  <c r="K4" i="34"/>
  <c r="J4" i="34"/>
  <c r="I4" i="34"/>
  <c r="H4" i="34"/>
  <c r="G4" i="34"/>
  <c r="F4" i="34"/>
  <c r="E4" i="34"/>
  <c r="C4" i="34" s="1"/>
  <c r="A4" i="34"/>
  <c r="A5" i="34" s="1"/>
  <c r="A6" i="34" s="1"/>
  <c r="A7" i="34" s="1"/>
  <c r="A8" i="34" s="1"/>
  <c r="Y3" i="34"/>
  <c r="Y9" i="34" s="1"/>
  <c r="X3" i="34"/>
  <c r="X9" i="34" s="1"/>
  <c r="W3" i="34"/>
  <c r="W9" i="34" s="1"/>
  <c r="V3" i="34"/>
  <c r="V9" i="34" s="1"/>
  <c r="U3" i="34"/>
  <c r="U9" i="34" s="1"/>
  <c r="T3" i="34"/>
  <c r="T9" i="34" s="1"/>
  <c r="S3" i="34"/>
  <c r="S9" i="34" s="1"/>
  <c r="R3" i="34"/>
  <c r="R9" i="34" s="1"/>
  <c r="Q3" i="34"/>
  <c r="Q9" i="34" s="1"/>
  <c r="P3" i="34"/>
  <c r="P9" i="34" s="1"/>
  <c r="O3" i="34"/>
  <c r="O9" i="34" s="1"/>
  <c r="N3" i="34"/>
  <c r="N9" i="34" s="1"/>
  <c r="M3" i="34"/>
  <c r="M9" i="34" s="1"/>
  <c r="L3" i="34"/>
  <c r="L9" i="34" s="1"/>
  <c r="K3" i="34"/>
  <c r="K9" i="34" s="1"/>
  <c r="J3" i="34"/>
  <c r="J9" i="34" s="1"/>
  <c r="I3" i="34"/>
  <c r="I9" i="34" s="1"/>
  <c r="H3" i="34"/>
  <c r="H9" i="34" s="1"/>
  <c r="G3" i="34"/>
  <c r="G9" i="34" s="1"/>
  <c r="F3" i="34"/>
  <c r="F9" i="34" s="1"/>
  <c r="E3" i="34"/>
  <c r="E9" i="34" s="1"/>
  <c r="C3" i="34"/>
  <c r="F2" i="34"/>
  <c r="G2" i="34" s="1"/>
  <c r="H2" i="34" s="1"/>
  <c r="I2" i="34" s="1"/>
  <c r="J2" i="34" s="1"/>
  <c r="K2" i="34" s="1"/>
  <c r="L2" i="34" s="1"/>
  <c r="M2" i="34" s="1"/>
  <c r="N2" i="34" s="1"/>
  <c r="O2" i="34" s="1"/>
  <c r="P2" i="34" s="1"/>
  <c r="Q2" i="34" s="1"/>
  <c r="R2" i="34" s="1"/>
  <c r="S2" i="34" s="1"/>
  <c r="T2" i="34" s="1"/>
  <c r="U2" i="34" s="1"/>
  <c r="V2" i="34" s="1"/>
  <c r="W2" i="34" s="1"/>
  <c r="X2" i="34" s="1"/>
  <c r="Y2" i="34" s="1"/>
  <c r="BN62" i="28"/>
  <c r="BN61" i="28"/>
  <c r="BO61" i="28" s="1"/>
  <c r="BP61" i="28" s="1"/>
  <c r="BN60" i="28"/>
  <c r="BN59" i="28"/>
  <c r="BN58" i="28"/>
  <c r="BN57" i="28"/>
  <c r="BN56" i="28"/>
  <c r="BN55" i="28"/>
  <c r="BN54" i="28"/>
  <c r="BO54" i="28" s="1"/>
  <c r="BP54" i="28" s="1"/>
  <c r="BN53" i="28"/>
  <c r="BN52" i="28"/>
  <c r="BN51" i="28"/>
  <c r="BN50" i="28"/>
  <c r="BN49" i="28"/>
  <c r="BN48" i="28"/>
  <c r="BN47" i="28"/>
  <c r="BN46" i="28"/>
  <c r="BO46" i="28" s="1"/>
  <c r="BP46" i="28" s="1"/>
  <c r="BN45" i="28"/>
  <c r="BN44" i="28"/>
  <c r="BN43" i="28"/>
  <c r="BN42" i="28"/>
  <c r="BN41" i="28"/>
  <c r="BO41" i="28" s="1"/>
  <c r="BP41" i="28" s="1"/>
  <c r="BN40" i="28"/>
  <c r="BN39" i="28"/>
  <c r="BO39" i="28" s="1"/>
  <c r="BP39" i="28" s="1"/>
  <c r="BN38" i="28"/>
  <c r="BN37" i="28"/>
  <c r="BN36" i="28"/>
  <c r="BN35" i="28"/>
  <c r="BN34" i="28"/>
  <c r="BO34" i="28" s="1"/>
  <c r="BP34" i="28" s="1"/>
  <c r="BN33" i="28"/>
  <c r="BO33" i="28" s="1"/>
  <c r="BP33" i="28" s="1"/>
  <c r="BN32" i="28"/>
  <c r="BN31" i="28"/>
  <c r="BO31" i="28" s="1"/>
  <c r="BP31" i="28" s="1"/>
  <c r="BN30" i="28"/>
  <c r="BN29" i="28"/>
  <c r="BN28" i="28"/>
  <c r="BN27" i="28"/>
  <c r="BO27" i="28" s="1"/>
  <c r="BP27" i="28" s="1"/>
  <c r="BN26" i="28"/>
  <c r="BN25" i="28"/>
  <c r="BN24" i="28"/>
  <c r="BO24" i="28" s="1"/>
  <c r="BP24" i="28" s="1"/>
  <c r="BN23" i="28"/>
  <c r="BN22" i="28"/>
  <c r="BN21" i="28"/>
  <c r="BN20" i="28"/>
  <c r="BO20" i="28" s="1"/>
  <c r="BP20" i="28" s="1"/>
  <c r="BN19" i="28"/>
  <c r="BN18" i="28"/>
  <c r="BO18" i="28" s="1"/>
  <c r="BP18" i="28" s="1"/>
  <c r="BN17" i="28"/>
  <c r="BN16" i="28"/>
  <c r="BN15" i="28"/>
  <c r="BN14" i="28"/>
  <c r="BN13" i="28"/>
  <c r="BO13" i="28" s="1"/>
  <c r="BP13" i="28" s="1"/>
  <c r="BN12" i="28"/>
  <c r="BO12" i="28" s="1"/>
  <c r="BP12" i="28" s="1"/>
  <c r="BN11" i="28"/>
  <c r="BN10" i="28"/>
  <c r="BN9" i="28"/>
  <c r="BN8" i="28"/>
  <c r="BN7" i="28"/>
  <c r="BO7" i="28" s="1"/>
  <c r="BP7" i="28" s="1"/>
  <c r="BN6" i="28"/>
  <c r="BN5" i="28"/>
  <c r="BN4" i="28"/>
  <c r="BN3" i="28"/>
  <c r="W2" i="28"/>
  <c r="X2" i="28" s="1"/>
  <c r="Y2" i="28" s="1"/>
  <c r="Z2" i="28" s="1"/>
  <c r="AA2" i="28" s="1"/>
  <c r="AB2" i="28" s="1"/>
  <c r="AC2" i="28" s="1"/>
  <c r="AD2" i="28" s="1"/>
  <c r="AE2" i="28" s="1"/>
  <c r="AF2" i="28" s="1"/>
  <c r="AG2" i="28" s="1"/>
  <c r="AH2" i="28" s="1"/>
  <c r="AI2" i="28" s="1"/>
  <c r="AJ2" i="28" s="1"/>
  <c r="AK2" i="28" s="1"/>
  <c r="AL2" i="28" s="1"/>
  <c r="AM2" i="28" s="1"/>
  <c r="AN2" i="28" s="1"/>
  <c r="AO2" i="28" s="1"/>
  <c r="AP2" i="28" s="1"/>
  <c r="AQ2" i="28" s="1"/>
  <c r="AR2" i="28" s="1"/>
  <c r="AS2" i="28" s="1"/>
  <c r="AT2" i="28" s="1"/>
  <c r="AU2" i="28" s="1"/>
  <c r="AV2" i="28" s="1"/>
  <c r="AW2" i="28" s="1"/>
  <c r="AX2" i="28" s="1"/>
  <c r="AY2" i="28" s="1"/>
  <c r="AZ2" i="28" s="1"/>
  <c r="BA2" i="28" s="1"/>
  <c r="BB2" i="28" s="1"/>
  <c r="BC2" i="28" s="1"/>
  <c r="BD2" i="28" s="1"/>
  <c r="BE2" i="28" s="1"/>
  <c r="BF2" i="28" s="1"/>
  <c r="BG2" i="28" s="1"/>
  <c r="BH2" i="28" s="1"/>
  <c r="BI2" i="28" s="1"/>
  <c r="BJ2" i="28" s="1"/>
  <c r="BM62" i="28"/>
  <c r="BM61" i="28"/>
  <c r="BM60" i="28"/>
  <c r="BO60" i="28" s="1"/>
  <c r="BP60" i="28" s="1"/>
  <c r="BM59" i="28"/>
  <c r="BM58" i="28"/>
  <c r="BM57" i="28"/>
  <c r="BM56" i="28"/>
  <c r="BM55" i="28"/>
  <c r="BM54" i="28"/>
  <c r="BM53" i="28"/>
  <c r="BO53" i="28" s="1"/>
  <c r="BP53" i="28" s="1"/>
  <c r="BM52" i="28"/>
  <c r="BO52" i="28" s="1"/>
  <c r="BP52" i="28" s="1"/>
  <c r="BM51" i="28"/>
  <c r="BM50" i="28"/>
  <c r="BO50" i="28" s="1"/>
  <c r="BP50" i="28" s="1"/>
  <c r="BM49" i="28"/>
  <c r="BO49" i="28" s="1"/>
  <c r="BP49" i="28" s="1"/>
  <c r="BM48" i="28"/>
  <c r="BM47" i="28"/>
  <c r="BM46" i="28"/>
  <c r="BM45" i="28"/>
  <c r="BO45" i="28" s="1"/>
  <c r="BP45" i="28" s="1"/>
  <c r="BM44" i="28"/>
  <c r="BM43" i="28"/>
  <c r="BO43" i="28" s="1"/>
  <c r="BP43" i="28" s="1"/>
  <c r="BM42" i="28"/>
  <c r="BM41" i="28"/>
  <c r="BM40" i="28"/>
  <c r="BO40" i="28" s="1"/>
  <c r="BP40" i="28" s="1"/>
  <c r="BM39" i="28"/>
  <c r="BM38" i="28"/>
  <c r="BM37" i="28"/>
  <c r="BO37" i="28" s="1"/>
  <c r="BP37" i="28" s="1"/>
  <c r="BM36" i="28"/>
  <c r="BO36" i="28" s="1"/>
  <c r="BM35" i="28"/>
  <c r="BM34" i="28"/>
  <c r="BM33" i="28"/>
  <c r="BM32" i="28"/>
  <c r="BM31" i="28"/>
  <c r="BM30" i="28"/>
  <c r="BM29" i="28"/>
  <c r="BO29" i="28" s="1"/>
  <c r="BP29" i="28" s="1"/>
  <c r="BM28" i="28"/>
  <c r="BM27" i="28"/>
  <c r="BM26" i="28"/>
  <c r="BO26" i="28" s="1"/>
  <c r="BP26" i="28" s="1"/>
  <c r="BM25" i="28"/>
  <c r="BM24" i="28"/>
  <c r="BM23" i="28"/>
  <c r="BM22" i="28"/>
  <c r="BO22" i="28" s="1"/>
  <c r="BP22" i="28" s="1"/>
  <c r="BM21" i="28"/>
  <c r="BM20" i="28"/>
  <c r="BM19" i="28"/>
  <c r="BM18" i="28"/>
  <c r="BM17" i="28"/>
  <c r="BO17" i="28" s="1"/>
  <c r="BP17" i="28" s="1"/>
  <c r="BM16" i="28"/>
  <c r="BO16" i="28" s="1"/>
  <c r="BP16" i="28" s="1"/>
  <c r="BM15" i="28"/>
  <c r="BM14" i="28"/>
  <c r="BM13" i="28"/>
  <c r="BM12" i="28"/>
  <c r="BM11" i="28"/>
  <c r="BM10" i="28"/>
  <c r="BM9" i="28"/>
  <c r="BM8" i="28"/>
  <c r="BO8" i="28" s="1"/>
  <c r="BP8" i="28" s="1"/>
  <c r="BM7" i="28"/>
  <c r="BM6" i="28"/>
  <c r="BO6" i="28" s="1"/>
  <c r="BP6" i="28" s="1"/>
  <c r="BM5" i="28"/>
  <c r="BM4" i="28"/>
  <c r="BM3" i="28"/>
  <c r="BO28" i="28"/>
  <c r="BP28" i="28" s="1"/>
  <c r="BO30" i="28"/>
  <c r="BP30" i="28" s="1"/>
  <c r="BP36" i="28"/>
  <c r="BO38" i="28"/>
  <c r="BP38" i="28" s="1"/>
  <c r="BO59" i="28"/>
  <c r="BP59" i="28" s="1"/>
  <c r="BO62" i="28"/>
  <c r="BP62" i="28" s="1"/>
  <c r="BL63" i="28"/>
  <c r="A4" i="28"/>
  <c r="A5" i="28"/>
  <c r="A6" i="28" s="1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C3" i="33"/>
  <c r="AC4" i="33"/>
  <c r="AC5" i="33"/>
  <c r="AC6" i="33"/>
  <c r="AC7" i="33"/>
  <c r="AC8" i="33"/>
  <c r="AC9" i="33"/>
  <c r="AC10" i="33"/>
  <c r="AC11" i="33"/>
  <c r="AC12" i="33"/>
  <c r="AC13" i="33"/>
  <c r="AC14" i="33"/>
  <c r="AC15" i="33"/>
  <c r="AC16" i="33"/>
  <c r="AC17" i="33"/>
  <c r="AC18" i="33"/>
  <c r="AC19" i="33"/>
  <c r="AC20" i="33"/>
  <c r="AC21" i="33"/>
  <c r="AC22" i="33"/>
  <c r="Z22" i="33"/>
  <c r="AA22" i="33" s="1"/>
  <c r="AB22" i="33" s="1"/>
  <c r="Z21" i="33"/>
  <c r="AA21" i="33" s="1"/>
  <c r="AB21" i="33" s="1"/>
  <c r="Z20" i="33"/>
  <c r="AA20" i="33" s="1"/>
  <c r="AB20" i="33" s="1"/>
  <c r="Z19" i="33"/>
  <c r="Z18" i="33"/>
  <c r="AA18" i="33" s="1"/>
  <c r="AB18" i="33" s="1"/>
  <c r="Z17" i="33"/>
  <c r="Z16" i="33"/>
  <c r="Z15" i="33"/>
  <c r="AA15" i="33" s="1"/>
  <c r="AB15" i="33" s="1"/>
  <c r="Z14" i="33"/>
  <c r="Z13" i="33"/>
  <c r="Z12" i="33"/>
  <c r="AA12" i="33" s="1"/>
  <c r="AB12" i="33" s="1"/>
  <c r="Z11" i="33"/>
  <c r="Z10" i="33"/>
  <c r="AA10" i="33" s="1"/>
  <c r="AB10" i="33" s="1"/>
  <c r="Z9" i="33"/>
  <c r="Z8" i="33"/>
  <c r="AA8" i="33" s="1"/>
  <c r="AB8" i="33" s="1"/>
  <c r="Z7" i="33"/>
  <c r="AA7" i="33" s="1"/>
  <c r="AB7" i="33" s="1"/>
  <c r="Z6" i="33"/>
  <c r="Z5" i="33"/>
  <c r="Z4" i="33"/>
  <c r="Z3" i="33"/>
  <c r="Y22" i="33"/>
  <c r="Y21" i="33"/>
  <c r="Y20" i="33"/>
  <c r="Y19" i="33"/>
  <c r="Y18" i="33"/>
  <c r="Y17" i="33"/>
  <c r="Y16" i="33"/>
  <c r="Y15" i="33"/>
  <c r="Y14" i="33"/>
  <c r="Y13" i="33"/>
  <c r="Y12" i="33"/>
  <c r="Y11" i="33"/>
  <c r="Y10" i="33"/>
  <c r="Y9" i="33"/>
  <c r="Y8" i="33"/>
  <c r="Y7" i="33"/>
  <c r="Y6" i="33"/>
  <c r="Y5" i="33"/>
  <c r="Y4" i="33"/>
  <c r="AA4" i="33" s="1"/>
  <c r="AB4" i="33" s="1"/>
  <c r="Y3" i="33"/>
  <c r="X23" i="33"/>
  <c r="A4" i="33"/>
  <c r="A5" i="33"/>
  <c r="A6" i="33" s="1"/>
  <c r="A7" i="33" s="1"/>
  <c r="A8" i="33" s="1"/>
  <c r="A9" i="33" s="1"/>
  <c r="A10" i="33" s="1"/>
  <c r="A11" i="33" s="1"/>
  <c r="A12" i="33" s="1"/>
  <c r="A13" i="33" s="1"/>
  <c r="A14" i="33" s="1"/>
  <c r="A15" i="33" s="1"/>
  <c r="A16" i="33" s="1"/>
  <c r="A17" i="33" s="1"/>
  <c r="A18" i="33" s="1"/>
  <c r="A19" i="33" s="1"/>
  <c r="A20" i="33" s="1"/>
  <c r="A21" i="33" s="1"/>
  <c r="A22" i="33" s="1"/>
  <c r="BO3" i="28"/>
  <c r="BP3" i="28" s="1"/>
  <c r="AA3" i="33"/>
  <c r="AA5" i="33"/>
  <c r="AB5" i="33" s="1"/>
  <c r="AI18" i="34" l="1"/>
  <c r="AJ18" i="34" s="1"/>
  <c r="AI15" i="34"/>
  <c r="AJ15" i="34" s="1"/>
  <c r="AI13" i="34"/>
  <c r="AJ13" i="34" s="1"/>
  <c r="AI17" i="34"/>
  <c r="AJ17" i="34" s="1"/>
  <c r="AI14" i="34"/>
  <c r="AJ14" i="34" s="1"/>
  <c r="AI16" i="34"/>
  <c r="AJ16" i="34" s="1"/>
  <c r="AA19" i="33"/>
  <c r="AB19" i="33" s="1"/>
  <c r="BO19" i="28"/>
  <c r="BP19" i="28" s="1"/>
  <c r="BO47" i="28"/>
  <c r="BP47" i="28" s="1"/>
  <c r="BO55" i="28"/>
  <c r="BP55" i="28" s="1"/>
  <c r="AC23" i="33"/>
  <c r="BO32" i="28"/>
  <c r="BP32" i="28" s="1"/>
  <c r="BO42" i="28"/>
  <c r="BP42" i="28" s="1"/>
  <c r="BO58" i="28"/>
  <c r="BP58" i="28" s="1"/>
  <c r="AA16" i="33"/>
  <c r="AB16" i="33" s="1"/>
  <c r="AA17" i="33"/>
  <c r="AB17" i="33" s="1"/>
  <c r="BO11" i="28"/>
  <c r="BP11" i="28" s="1"/>
  <c r="BO9" i="28"/>
  <c r="BP9" i="28" s="1"/>
  <c r="BO23" i="28"/>
  <c r="BP23" i="28" s="1"/>
  <c r="BO51" i="28"/>
  <c r="BP51" i="28" s="1"/>
  <c r="AA14" i="33"/>
  <c r="AB14" i="33" s="1"/>
  <c r="BM63" i="28"/>
  <c r="BO56" i="28"/>
  <c r="BP56" i="28" s="1"/>
  <c r="BO4" i="28"/>
  <c r="BO15" i="28"/>
  <c r="BP15" i="28" s="1"/>
  <c r="AB3" i="33"/>
  <c r="Z23" i="33"/>
  <c r="BO5" i="28"/>
  <c r="BP5" i="28" s="1"/>
  <c r="BN63" i="28"/>
  <c r="AA6" i="33"/>
  <c r="AB6" i="33" s="1"/>
  <c r="Y23" i="33"/>
  <c r="AA13" i="33"/>
  <c r="AB13" i="33" s="1"/>
  <c r="BO10" i="28"/>
  <c r="BP10" i="28" s="1"/>
  <c r="BO21" i="28"/>
  <c r="BP21" i="28" s="1"/>
  <c r="BO35" i="28"/>
  <c r="BP35" i="28" s="1"/>
  <c r="BO48" i="28"/>
  <c r="BP48" i="28" s="1"/>
  <c r="AA9" i="33"/>
  <c r="AB9" i="33" s="1"/>
  <c r="AA11" i="33"/>
  <c r="AB11" i="33" s="1"/>
  <c r="BO14" i="28"/>
  <c r="BP14" i="28" s="1"/>
  <c r="BO25" i="28"/>
  <c r="BP25" i="28" s="1"/>
  <c r="BO44" i="28"/>
  <c r="BP44" i="28" s="1"/>
  <c r="BO57" i="28"/>
  <c r="BP57" i="28" s="1"/>
  <c r="AA23" i="33" l="1"/>
  <c r="AB23" i="33"/>
  <c r="BO63" i="28"/>
  <c r="BP4" i="28"/>
  <c r="BP63" i="28" s="1"/>
</calcChain>
</file>

<file path=xl/sharedStrings.xml><?xml version="1.0" encoding="utf-8"?>
<sst xmlns="http://schemas.openxmlformats.org/spreadsheetml/2006/main" count="45" uniqueCount="31">
  <si>
    <t>Value</t>
  </si>
  <si>
    <t>Li</t>
  </si>
  <si>
    <t>Ri</t>
  </si>
  <si>
    <t>Aijxj</t>
  </si>
  <si>
    <r>
      <t>G</t>
    </r>
    <r>
      <rPr>
        <i/>
        <vertAlign val="subscript"/>
        <sz val="12"/>
        <rFont val="Arial"/>
        <family val="2"/>
      </rPr>
      <t>i</t>
    </r>
  </si>
  <si>
    <r>
      <t>Part (</t>
    </r>
    <r>
      <rPr>
        <i/>
        <sz val="12"/>
        <rFont val="Arial"/>
        <family val="2"/>
      </rPr>
      <t>i</t>
    </r>
    <r>
      <rPr>
        <sz val="12"/>
        <rFont val="Arial"/>
        <family val="2"/>
      </rPr>
      <t>)</t>
    </r>
  </si>
  <si>
    <r>
      <t>Amount cut/nest (</t>
    </r>
    <r>
      <rPr>
        <i/>
        <sz val="12"/>
        <rFont val="Arial"/>
        <family val="2"/>
      </rPr>
      <t>x</t>
    </r>
    <r>
      <rPr>
        <i/>
        <vertAlign val="subscript"/>
        <sz val="12"/>
        <rFont val="Arial"/>
        <family val="2"/>
      </rPr>
      <t>j</t>
    </r>
    <r>
      <rPr>
        <sz val="12"/>
        <rFont val="Arial"/>
        <family val="2"/>
      </rPr>
      <t>):</t>
    </r>
  </si>
  <si>
    <r>
      <t>Nest (</t>
    </r>
    <r>
      <rPr>
        <i/>
        <sz val="12"/>
        <rFont val="Arial"/>
        <family val="2"/>
      </rPr>
      <t>j</t>
    </r>
    <r>
      <rPr>
        <sz val="12"/>
        <rFont val="Arial"/>
        <family val="2"/>
      </rPr>
      <t>)</t>
    </r>
  </si>
  <si>
    <r>
      <t>Initial stock (L</t>
    </r>
    <r>
      <rPr>
        <vertAlign val="subscript"/>
        <sz val="12"/>
        <rFont val="Arial"/>
        <family val="2"/>
      </rPr>
      <t>i</t>
    </r>
    <r>
      <rPr>
        <sz val="12"/>
        <rFont val="Arial"/>
        <family val="2"/>
      </rPr>
      <t>)</t>
    </r>
  </si>
  <si>
    <t>Demand</t>
  </si>
  <si>
    <t>Need</t>
  </si>
  <si>
    <t>Manufactured</t>
  </si>
  <si>
    <t>Diff.</t>
  </si>
  <si>
    <t>Value of need</t>
  </si>
  <si>
    <t>Value of difference</t>
  </si>
  <si>
    <r>
      <t xml:space="preserve">Timing, </t>
    </r>
    <r>
      <rPr>
        <b/>
        <i/>
        <sz val="10"/>
        <rFont val="Arial"/>
        <family val="2"/>
      </rPr>
      <t>y</t>
    </r>
    <r>
      <rPr>
        <b/>
        <i/>
        <vertAlign val="subscript"/>
        <sz val="10"/>
        <rFont val="Arial"/>
        <family val="2"/>
      </rPr>
      <t>it</t>
    </r>
    <r>
      <rPr>
        <b/>
        <sz val="10"/>
        <rFont val="Arial"/>
        <family val="2"/>
      </rPr>
      <t>:</t>
    </r>
  </si>
  <si>
    <r>
      <t xml:space="preserve">Job, </t>
    </r>
    <r>
      <rPr>
        <b/>
        <i/>
        <sz val="10"/>
        <rFont val="Arial"/>
        <family val="2"/>
      </rPr>
      <t>i</t>
    </r>
  </si>
  <si>
    <r>
      <t xml:space="preserve">Throughput, </t>
    </r>
    <r>
      <rPr>
        <b/>
        <i/>
        <sz val="10"/>
        <rFont val="Arial"/>
        <family val="2"/>
      </rPr>
      <t>p</t>
    </r>
    <r>
      <rPr>
        <b/>
        <i/>
        <vertAlign val="subscript"/>
        <sz val="10"/>
        <rFont val="Arial"/>
        <family val="2"/>
      </rPr>
      <t>i</t>
    </r>
  </si>
  <si>
    <r>
      <t xml:space="preserve">Time, </t>
    </r>
    <r>
      <rPr>
        <b/>
        <i/>
        <sz val="10"/>
        <rFont val="Arial"/>
        <family val="2"/>
      </rPr>
      <t>t</t>
    </r>
    <r>
      <rPr>
        <b/>
        <sz val="10"/>
        <rFont val="Arial"/>
        <family val="2"/>
      </rPr>
      <t>:</t>
    </r>
  </si>
  <si>
    <r>
      <t xml:space="preserve">Capacity, </t>
    </r>
    <r>
      <rPr>
        <b/>
        <i/>
        <sz val="10"/>
        <rFont val="Arial"/>
        <family val="2"/>
      </rPr>
      <t>C</t>
    </r>
    <r>
      <rPr>
        <b/>
        <sz val="10"/>
        <rFont val="Arial"/>
        <family val="2"/>
      </rPr>
      <t>:</t>
    </r>
  </si>
  <si>
    <r>
      <t>d</t>
    </r>
    <r>
      <rPr>
        <b/>
        <i/>
        <vertAlign val="subscript"/>
        <sz val="10"/>
        <rFont val="Arial"/>
        <family val="2"/>
      </rPr>
      <t>i</t>
    </r>
  </si>
  <si>
    <r>
      <t xml:space="preserve">Finishing time, </t>
    </r>
    <r>
      <rPr>
        <b/>
        <i/>
        <sz val="10"/>
        <rFont val="Arial"/>
        <family val="2"/>
      </rPr>
      <t>x</t>
    </r>
    <r>
      <rPr>
        <b/>
        <i/>
        <vertAlign val="subscript"/>
        <sz val="10"/>
        <rFont val="Arial"/>
        <family val="2"/>
      </rPr>
      <t>it</t>
    </r>
    <r>
      <rPr>
        <b/>
        <sz val="10"/>
        <rFont val="Arial"/>
        <family val="2"/>
      </rPr>
      <t>:</t>
    </r>
  </si>
  <si>
    <r>
      <t>f</t>
    </r>
    <r>
      <rPr>
        <b/>
        <i/>
        <vertAlign val="subscript"/>
        <sz val="10"/>
        <rFont val="Arial"/>
        <family val="2"/>
      </rPr>
      <t>i</t>
    </r>
  </si>
  <si>
    <r>
      <t>d</t>
    </r>
    <r>
      <rPr>
        <b/>
        <i/>
        <vertAlign val="subscript"/>
        <sz val="10"/>
        <rFont val="Arial"/>
        <family val="2"/>
      </rPr>
      <t>i</t>
    </r>
    <r>
      <rPr>
        <b/>
        <i/>
        <sz val="10"/>
        <rFont val="Arial"/>
        <family val="2"/>
      </rPr>
      <t>-f</t>
    </r>
    <r>
      <rPr>
        <b/>
        <i/>
        <vertAlign val="subscript"/>
        <sz val="10"/>
        <rFont val="Arial"/>
        <family val="2"/>
      </rPr>
      <t>i</t>
    </r>
  </si>
  <si>
    <r>
      <rPr>
        <b/>
        <i/>
        <sz val="10"/>
        <rFont val="Arial"/>
        <family val="2"/>
      </rPr>
      <t>E</t>
    </r>
    <r>
      <rPr>
        <b/>
        <i/>
        <vertAlign val="subscript"/>
        <sz val="10"/>
        <rFont val="Arial"/>
        <family val="2"/>
      </rPr>
      <t>i</t>
    </r>
  </si>
  <si>
    <t>Dead line</t>
  </si>
  <si>
    <t>Finished</t>
  </si>
  <si>
    <t>Difference</t>
  </si>
  <si>
    <t>Tardiness</t>
  </si>
  <si>
    <t>Objective is to allocate six jobs to a work center so, that jobs are as little tardy as possible</t>
  </si>
  <si>
    <t>Job durations and and work center capacity are given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</si>
</sst>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\ %"/>
  </numFmts>
  <fonts count="9" x14ac:knownFonts="1">
    <font>
      <sz val="10"/>
      <name val="Arial"/>
    </font>
    <font>
      <sz val="10"/>
      <name val="Arial"/>
      <family val="2"/>
    </font>
    <font>
      <sz val="12"/>
      <name val="Arial"/>
      <family val="2"/>
    </font>
    <font>
      <vertAlign val="subscript"/>
      <sz val="12"/>
      <name val="Arial"/>
      <family val="2"/>
    </font>
    <font>
      <i/>
      <sz val="12"/>
      <name val="Arial"/>
      <family val="2"/>
    </font>
    <font>
      <i/>
      <vertAlign val="subscript"/>
      <sz val="12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4">
    <xf numFmtId="0" fontId="0" fillId="0" borderId="0" xfId="0"/>
    <xf numFmtId="0" fontId="2" fillId="0" borderId="0" xfId="0" applyFont="1"/>
    <xf numFmtId="1" fontId="2" fillId="0" borderId="0" xfId="0" applyNumberFormat="1" applyFont="1" applyFill="1" applyBorder="1"/>
    <xf numFmtId="1" fontId="2" fillId="0" borderId="0" xfId="0" applyNumberFormat="1" applyFont="1" applyFill="1" applyBorder="1" applyAlignment="1">
      <alignment horizontal="right"/>
    </xf>
    <xf numFmtId="164" fontId="2" fillId="0" borderId="0" xfId="0" applyNumberFormat="1" applyFont="1" applyFill="1" applyBorder="1"/>
    <xf numFmtId="0" fontId="2" fillId="0" borderId="0" xfId="0" applyFont="1" applyFill="1" applyBorder="1"/>
    <xf numFmtId="0" fontId="2" fillId="0" borderId="6" xfId="0" applyFont="1" applyBorder="1"/>
    <xf numFmtId="0" fontId="2" fillId="0" borderId="7" xfId="0" applyFont="1" applyBorder="1"/>
    <xf numFmtId="1" fontId="4" fillId="0" borderId="0" xfId="0" applyNumberFormat="1" applyFont="1" applyFill="1" applyBorder="1"/>
    <xf numFmtId="0" fontId="2" fillId="0" borderId="0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0" xfId="1" applyNumberFormat="1" applyFont="1"/>
    <xf numFmtId="0" fontId="2" fillId="0" borderId="0" xfId="1" applyNumberFormat="1" applyFont="1" applyFill="1" applyBorder="1"/>
    <xf numFmtId="0" fontId="2" fillId="0" borderId="1" xfId="0" applyFont="1" applyBorder="1"/>
    <xf numFmtId="0" fontId="2" fillId="0" borderId="5" xfId="0" applyFont="1" applyBorder="1"/>
    <xf numFmtId="1" fontId="2" fillId="0" borderId="0" xfId="0" applyNumberFormat="1" applyFont="1"/>
    <xf numFmtId="1" fontId="2" fillId="0" borderId="0" xfId="0" applyNumberFormat="1" applyFont="1" applyBorder="1"/>
    <xf numFmtId="0" fontId="2" fillId="0" borderId="3" xfId="0" applyFont="1" applyBorder="1"/>
    <xf numFmtId="0" fontId="2" fillId="0" borderId="2" xfId="0" applyFont="1" applyBorder="1"/>
    <xf numFmtId="0" fontId="2" fillId="0" borderId="4" xfId="0" applyFont="1" applyBorder="1"/>
    <xf numFmtId="0" fontId="2" fillId="0" borderId="0" xfId="0" applyFont="1" applyAlignment="1">
      <alignment horizontal="right"/>
    </xf>
    <xf numFmtId="0" fontId="2" fillId="3" borderId="11" xfId="0" applyFont="1" applyFill="1" applyBorder="1"/>
    <xf numFmtId="0" fontId="2" fillId="3" borderId="7" xfId="0" applyFont="1" applyFill="1" applyBorder="1"/>
    <xf numFmtId="0" fontId="2" fillId="2" borderId="0" xfId="1" applyNumberFormat="1" applyFont="1" applyFill="1" applyBorder="1"/>
    <xf numFmtId="164" fontId="2" fillId="0" borderId="0" xfId="0" applyNumberFormat="1" applyFont="1"/>
    <xf numFmtId="2" fontId="2" fillId="0" borderId="0" xfId="0" applyNumberFormat="1" applyFont="1" applyFill="1" applyBorder="1"/>
    <xf numFmtId="2" fontId="2" fillId="0" borderId="0" xfId="0" applyNumberFormat="1" applyFont="1"/>
    <xf numFmtId="165" fontId="2" fillId="3" borderId="0" xfId="1" applyNumberFormat="1" applyFont="1" applyFill="1"/>
    <xf numFmtId="0" fontId="4" fillId="0" borderId="0" xfId="0" applyFont="1"/>
    <xf numFmtId="0" fontId="2" fillId="3" borderId="12" xfId="0" applyFont="1" applyFill="1" applyBorder="1"/>
    <xf numFmtId="0" fontId="2" fillId="3" borderId="13" xfId="0" applyFont="1" applyFill="1" applyBorder="1"/>
    <xf numFmtId="0" fontId="2" fillId="3" borderId="14" xfId="0" applyFont="1" applyFill="1" applyBorder="1"/>
    <xf numFmtId="0" fontId="2" fillId="4" borderId="0" xfId="0" applyFont="1" applyFill="1"/>
    <xf numFmtId="0" fontId="4" fillId="4" borderId="0" xfId="0" applyFont="1" applyFill="1"/>
    <xf numFmtId="0" fontId="2" fillId="4" borderId="6" xfId="0" applyFont="1" applyFill="1" applyBorder="1"/>
    <xf numFmtId="0" fontId="2" fillId="4" borderId="12" xfId="0" applyFont="1" applyFill="1" applyBorder="1"/>
    <xf numFmtId="0" fontId="2" fillId="4" borderId="0" xfId="0" applyFont="1" applyFill="1" applyBorder="1"/>
    <xf numFmtId="0" fontId="2" fillId="4" borderId="8" xfId="0" applyFont="1" applyFill="1" applyBorder="1"/>
    <xf numFmtId="0" fontId="2" fillId="4" borderId="9" xfId="0" applyFont="1" applyFill="1" applyBorder="1"/>
    <xf numFmtId="0" fontId="2" fillId="4" borderId="1" xfId="0" applyFont="1" applyFill="1" applyBorder="1"/>
    <xf numFmtId="1" fontId="2" fillId="4" borderId="0" xfId="0" applyNumberFormat="1" applyFont="1" applyFill="1"/>
    <xf numFmtId="0" fontId="2" fillId="4" borderId="0" xfId="1" applyNumberFormat="1" applyFont="1" applyFill="1" applyBorder="1"/>
    <xf numFmtId="0" fontId="6" fillId="0" borderId="0" xfId="0" applyFont="1"/>
    <xf numFmtId="0" fontId="0" fillId="5" borderId="8" xfId="0" applyFill="1" applyBorder="1"/>
    <xf numFmtId="0" fontId="0" fillId="0" borderId="10" xfId="0" applyBorder="1"/>
    <xf numFmtId="0" fontId="0" fillId="0" borderId="8" xfId="0" applyBorder="1"/>
    <xf numFmtId="0" fontId="0" fillId="0" borderId="6" xfId="0" applyBorder="1"/>
    <xf numFmtId="0" fontId="0" fillId="5" borderId="1" xfId="0" applyFill="1" applyBorder="1"/>
    <xf numFmtId="0" fontId="0" fillId="0" borderId="5" xfId="0" applyBorder="1"/>
    <xf numFmtId="0" fontId="0" fillId="0" borderId="1" xfId="0" applyBorder="1"/>
    <xf numFmtId="0" fontId="0" fillId="0" borderId="15" xfId="0" applyBorder="1"/>
    <xf numFmtId="0" fontId="0" fillId="5" borderId="3" xfId="0" applyFill="1" applyBorder="1"/>
    <xf numFmtId="0" fontId="0" fillId="0" borderId="4" xfId="0" applyBorder="1"/>
    <xf numFmtId="0" fontId="0" fillId="0" borderId="3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164" fontId="0" fillId="0" borderId="0" xfId="0" applyNumberFormat="1"/>
    <xf numFmtId="0" fontId="6" fillId="0" borderId="0" xfId="0" applyFont="1" applyAlignment="1">
      <alignment horizontal="right"/>
    </xf>
    <xf numFmtId="1" fontId="0" fillId="6" borderId="0" xfId="0" applyNumberFormat="1" applyFill="1"/>
    <xf numFmtId="0" fontId="7" fillId="0" borderId="0" xfId="0" applyFont="1"/>
    <xf numFmtId="164" fontId="7" fillId="0" borderId="0" xfId="0" applyNumberFormat="1" applyFont="1"/>
    <xf numFmtId="164" fontId="6" fillId="0" borderId="0" xfId="0" applyNumberFormat="1" applyFont="1"/>
    <xf numFmtId="0" fontId="0" fillId="5" borderId="6" xfId="0" applyFill="1" applyBorder="1"/>
    <xf numFmtId="0" fontId="0" fillId="3" borderId="7" xfId="0" applyFill="1" applyBorder="1"/>
    <xf numFmtId="1" fontId="0" fillId="7" borderId="6" xfId="0" applyNumberFormat="1" applyFill="1" applyBorder="1"/>
    <xf numFmtId="0" fontId="0" fillId="5" borderId="15" xfId="0" applyFill="1" applyBorder="1"/>
    <xf numFmtId="1" fontId="0" fillId="7" borderId="15" xfId="0" applyNumberFormat="1" applyFill="1" applyBorder="1"/>
    <xf numFmtId="0" fontId="0" fillId="5" borderId="11" xfId="0" applyFill="1" applyBorder="1"/>
    <xf numFmtId="1" fontId="0" fillId="7" borderId="11" xfId="0" applyNumberFormat="1" applyFill="1" applyBorder="1"/>
    <xf numFmtId="0" fontId="0" fillId="8" borderId="0" xfId="0" applyFill="1"/>
  </cellXfs>
  <cellStyles count="2">
    <cellStyle name="Normal" xfId="0" builtinId="0"/>
    <cellStyle name="Percent" xfId="1" builtinId="5"/>
  </cellStyles>
  <dxfs count="3">
    <dxf>
      <font>
        <condense val="0"/>
        <extend val="0"/>
        <color auto="1"/>
      </font>
      <fill>
        <patternFill>
          <bgColor indexed="17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9"/>
  <dimension ref="A1:AV115"/>
  <sheetViews>
    <sheetView showZeros="0" tabSelected="1" workbookViewId="0">
      <selection activeCell="AB3" sqref="AB3"/>
    </sheetView>
  </sheetViews>
  <sheetFormatPr defaultColWidth="9.1796875" defaultRowHeight="15.5" x14ac:dyDescent="0.35"/>
  <cols>
    <col min="1" max="1" width="16.1796875" style="1" bestFit="1" customWidth="1"/>
    <col min="2" max="2" width="9.1796875" style="1"/>
    <col min="3" max="22" width="3.7265625" style="1" customWidth="1"/>
    <col min="23" max="23" width="16.54296875" style="1" bestFit="1" customWidth="1"/>
    <col min="24" max="24" width="6.81640625" style="1" bestFit="1" customWidth="1"/>
    <col min="25" max="25" width="10.54296875" style="1" bestFit="1" customWidth="1"/>
    <col min="26" max="26" width="11" style="1" bestFit="1" customWidth="1"/>
    <col min="27" max="27" width="7.7265625" style="1" bestFit="1" customWidth="1"/>
    <col min="28" max="28" width="6.453125" style="1" bestFit="1" customWidth="1"/>
    <col min="29" max="29" width="12" style="1" bestFit="1" customWidth="1"/>
    <col min="30" max="34" width="5" style="1" customWidth="1"/>
    <col min="35" max="47" width="4.54296875" style="1" customWidth="1"/>
    <col min="48" max="48" width="5.54296875" style="1" customWidth="1"/>
    <col min="49" max="16384" width="9.1796875" style="1"/>
  </cols>
  <sheetData>
    <row r="1" spans="1:47" x14ac:dyDescent="0.35">
      <c r="C1" s="1" t="s">
        <v>7</v>
      </c>
      <c r="W1" s="30" t="s">
        <v>1</v>
      </c>
      <c r="X1" s="30" t="s">
        <v>2</v>
      </c>
      <c r="Y1" s="30" t="s">
        <v>3</v>
      </c>
      <c r="Z1" s="2"/>
      <c r="AA1" s="3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4"/>
      <c r="AU1" s="5"/>
    </row>
    <row r="2" spans="1:47" ht="16.5" x14ac:dyDescent="0.4">
      <c r="A2" s="34" t="s">
        <v>5</v>
      </c>
      <c r="B2" s="35" t="s">
        <v>4</v>
      </c>
      <c r="C2" s="36">
        <v>1</v>
      </c>
      <c r="D2" s="36">
        <v>2</v>
      </c>
      <c r="E2" s="36">
        <v>3</v>
      </c>
      <c r="F2" s="36">
        <v>4</v>
      </c>
      <c r="G2" s="36">
        <v>5</v>
      </c>
      <c r="H2" s="36">
        <v>6</v>
      </c>
      <c r="I2" s="36">
        <v>7</v>
      </c>
      <c r="J2" s="36">
        <v>8</v>
      </c>
      <c r="K2" s="36">
        <v>9</v>
      </c>
      <c r="L2" s="36">
        <v>10</v>
      </c>
      <c r="M2" s="36">
        <v>11</v>
      </c>
      <c r="N2" s="36">
        <v>12</v>
      </c>
      <c r="O2" s="36">
        <v>13</v>
      </c>
      <c r="P2" s="36">
        <v>14</v>
      </c>
      <c r="Q2" s="36">
        <v>15</v>
      </c>
      <c r="R2" s="36">
        <v>16</v>
      </c>
      <c r="S2" s="36">
        <v>17</v>
      </c>
      <c r="T2" s="36">
        <v>18</v>
      </c>
      <c r="U2" s="36">
        <v>19</v>
      </c>
      <c r="V2" s="37">
        <v>20</v>
      </c>
      <c r="W2" s="15" t="s">
        <v>8</v>
      </c>
      <c r="X2" s="1" t="s">
        <v>9</v>
      </c>
      <c r="Y2" s="1" t="s">
        <v>10</v>
      </c>
      <c r="Z2" s="2" t="s">
        <v>11</v>
      </c>
      <c r="AA2" s="1" t="s">
        <v>12</v>
      </c>
      <c r="AB2" s="1" t="s">
        <v>14</v>
      </c>
      <c r="AC2" s="2" t="s">
        <v>13</v>
      </c>
      <c r="AD2" s="2"/>
      <c r="AE2" s="2"/>
      <c r="AF2" s="8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5"/>
      <c r="AU2" s="5"/>
    </row>
    <row r="3" spans="1:47" ht="12" customHeight="1" x14ac:dyDescent="0.35">
      <c r="A3" s="38">
        <v>1</v>
      </c>
      <c r="B3" s="38">
        <v>3</v>
      </c>
      <c r="C3" s="39"/>
      <c r="D3" s="40">
        <v>6</v>
      </c>
      <c r="E3" s="40"/>
      <c r="F3" s="40"/>
      <c r="G3" s="40">
        <v>6</v>
      </c>
      <c r="H3" s="40">
        <v>1</v>
      </c>
      <c r="I3" s="40"/>
      <c r="J3" s="40">
        <v>7</v>
      </c>
      <c r="K3" s="40"/>
      <c r="L3" s="40"/>
      <c r="M3" s="40">
        <v>5</v>
      </c>
      <c r="N3" s="40">
        <v>2</v>
      </c>
      <c r="O3" s="40"/>
      <c r="P3" s="40">
        <v>1</v>
      </c>
      <c r="Q3" s="40"/>
      <c r="R3" s="40"/>
      <c r="S3" s="40">
        <v>2</v>
      </c>
      <c r="T3" s="40">
        <v>2</v>
      </c>
      <c r="U3" s="40"/>
      <c r="V3" s="40">
        <v>1</v>
      </c>
      <c r="W3" s="15">
        <v>0</v>
      </c>
      <c r="X3" s="34">
        <v>23</v>
      </c>
      <c r="Y3" s="9">
        <f t="shared" ref="Y3:Y22" si="0">X3-W3</f>
        <v>23</v>
      </c>
      <c r="Z3" s="2">
        <f t="shared" ref="Z3:Z22" si="1">SUMPRODUCT(C3:V3,C$23:V$23)</f>
        <v>71</v>
      </c>
      <c r="AA3" s="13">
        <f t="shared" ref="AA3:AA22" si="2">Z3-Y3</f>
        <v>48</v>
      </c>
      <c r="AB3" s="14">
        <f t="shared" ref="AB3:AB22" si="3">AA3*B3</f>
        <v>144</v>
      </c>
      <c r="AC3" s="2">
        <f>X3*B3</f>
        <v>69</v>
      </c>
      <c r="AD3" s="2"/>
      <c r="AE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</row>
    <row r="4" spans="1:47" ht="12" customHeight="1" x14ac:dyDescent="0.35">
      <c r="A4" s="38">
        <f t="shared" ref="A4:A22" si="4">1+A3</f>
        <v>2</v>
      </c>
      <c r="B4" s="38">
        <v>7</v>
      </c>
      <c r="C4" s="41">
        <v>1</v>
      </c>
      <c r="D4" s="38">
        <v>1</v>
      </c>
      <c r="E4" s="38"/>
      <c r="F4" s="38">
        <v>10</v>
      </c>
      <c r="G4" s="38"/>
      <c r="H4" s="38"/>
      <c r="I4" s="38"/>
      <c r="J4" s="38"/>
      <c r="K4" s="38">
        <v>3</v>
      </c>
      <c r="L4" s="38"/>
      <c r="M4" s="38"/>
      <c r="N4" s="38">
        <v>2</v>
      </c>
      <c r="O4" s="38">
        <v>7</v>
      </c>
      <c r="P4" s="38"/>
      <c r="Q4" s="38">
        <v>1</v>
      </c>
      <c r="R4" s="38"/>
      <c r="S4" s="38"/>
      <c r="T4" s="38"/>
      <c r="U4" s="38">
        <v>1</v>
      </c>
      <c r="V4" s="38">
        <v>9</v>
      </c>
      <c r="W4" s="15">
        <v>0</v>
      </c>
      <c r="X4" s="42">
        <v>26</v>
      </c>
      <c r="Y4" s="9">
        <f t="shared" si="0"/>
        <v>26</v>
      </c>
      <c r="Z4" s="2">
        <f t="shared" si="1"/>
        <v>170</v>
      </c>
      <c r="AA4" s="13">
        <f t="shared" si="2"/>
        <v>144</v>
      </c>
      <c r="AB4" s="14">
        <f t="shared" si="3"/>
        <v>1008</v>
      </c>
      <c r="AC4" s="2">
        <f t="shared" ref="AC4:AC22" si="5">X4*B4</f>
        <v>182</v>
      </c>
      <c r="AD4" s="2"/>
      <c r="AE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5"/>
    </row>
    <row r="5" spans="1:47" ht="12" customHeight="1" x14ac:dyDescent="0.35">
      <c r="A5" s="38">
        <f t="shared" si="4"/>
        <v>3</v>
      </c>
      <c r="B5" s="38">
        <v>7</v>
      </c>
      <c r="C5" s="41"/>
      <c r="D5" s="38"/>
      <c r="E5" s="38"/>
      <c r="F5" s="38"/>
      <c r="G5" s="38">
        <v>2</v>
      </c>
      <c r="H5" s="38">
        <v>4</v>
      </c>
      <c r="I5" s="38"/>
      <c r="J5" s="38"/>
      <c r="K5" s="38"/>
      <c r="L5" s="38"/>
      <c r="M5" s="38">
        <v>4</v>
      </c>
      <c r="N5" s="38"/>
      <c r="O5" s="38"/>
      <c r="P5" s="38"/>
      <c r="Q5" s="38"/>
      <c r="R5" s="38"/>
      <c r="S5" s="38">
        <v>5</v>
      </c>
      <c r="T5" s="38"/>
      <c r="U5" s="38">
        <v>4</v>
      </c>
      <c r="V5" s="38"/>
      <c r="W5" s="15">
        <v>0</v>
      </c>
      <c r="X5" s="34">
        <v>15</v>
      </c>
      <c r="Y5" s="9">
        <f t="shared" si="0"/>
        <v>15</v>
      </c>
      <c r="Z5" s="2">
        <f t="shared" si="1"/>
        <v>16</v>
      </c>
      <c r="AA5" s="13">
        <f t="shared" si="2"/>
        <v>1</v>
      </c>
      <c r="AB5" s="14">
        <f t="shared" si="3"/>
        <v>7</v>
      </c>
      <c r="AC5" s="2">
        <f t="shared" si="5"/>
        <v>105</v>
      </c>
      <c r="AD5" s="2"/>
      <c r="AE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5"/>
    </row>
    <row r="6" spans="1:47" ht="12" customHeight="1" x14ac:dyDescent="0.35">
      <c r="A6" s="38">
        <f t="shared" si="4"/>
        <v>4</v>
      </c>
      <c r="B6" s="38">
        <v>24</v>
      </c>
      <c r="C6" s="41"/>
      <c r="D6" s="38"/>
      <c r="E6" s="38">
        <v>1</v>
      </c>
      <c r="F6" s="38"/>
      <c r="G6" s="38">
        <v>2</v>
      </c>
      <c r="H6" s="38"/>
      <c r="I6" s="38">
        <v>1</v>
      </c>
      <c r="J6" s="38"/>
      <c r="K6" s="38"/>
      <c r="L6" s="38"/>
      <c r="M6" s="38"/>
      <c r="N6" s="38"/>
      <c r="O6" s="38"/>
      <c r="P6" s="38"/>
      <c r="Q6" s="38"/>
      <c r="R6" s="38">
        <v>5</v>
      </c>
      <c r="S6" s="38"/>
      <c r="T6" s="38"/>
      <c r="U6" s="38"/>
      <c r="V6" s="38"/>
      <c r="W6" s="15">
        <v>0</v>
      </c>
      <c r="X6" s="34">
        <v>17</v>
      </c>
      <c r="Y6" s="9">
        <f t="shared" si="0"/>
        <v>17</v>
      </c>
      <c r="Z6" s="2">
        <f t="shared" si="1"/>
        <v>17</v>
      </c>
      <c r="AA6" s="13">
        <f t="shared" si="2"/>
        <v>0</v>
      </c>
      <c r="AB6" s="14">
        <f t="shared" si="3"/>
        <v>0</v>
      </c>
      <c r="AC6" s="2">
        <f t="shared" si="5"/>
        <v>408</v>
      </c>
      <c r="AD6" s="2"/>
      <c r="AE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5"/>
    </row>
    <row r="7" spans="1:47" ht="12" customHeight="1" x14ac:dyDescent="0.35">
      <c r="A7" s="38">
        <f t="shared" si="4"/>
        <v>5</v>
      </c>
      <c r="B7" s="38">
        <v>34</v>
      </c>
      <c r="C7" s="41"/>
      <c r="D7" s="38"/>
      <c r="E7" s="38"/>
      <c r="F7" s="38"/>
      <c r="G7" s="38"/>
      <c r="H7" s="38"/>
      <c r="I7" s="38">
        <v>1</v>
      </c>
      <c r="J7" s="38"/>
      <c r="K7" s="38"/>
      <c r="L7" s="38"/>
      <c r="M7" s="38"/>
      <c r="N7" s="38"/>
      <c r="O7" s="38"/>
      <c r="P7" s="38"/>
      <c r="Q7" s="38">
        <v>3</v>
      </c>
      <c r="R7" s="38"/>
      <c r="S7" s="38">
        <v>1</v>
      </c>
      <c r="T7" s="38">
        <v>2</v>
      </c>
      <c r="U7" s="38">
        <v>1</v>
      </c>
      <c r="V7" s="38"/>
      <c r="W7" s="15">
        <v>0</v>
      </c>
      <c r="X7" s="34">
        <v>3</v>
      </c>
      <c r="Y7" s="9">
        <f t="shared" si="0"/>
        <v>3</v>
      </c>
      <c r="Z7" s="2">
        <f t="shared" si="1"/>
        <v>20</v>
      </c>
      <c r="AA7" s="13">
        <f t="shared" si="2"/>
        <v>17</v>
      </c>
      <c r="AB7" s="14">
        <f t="shared" si="3"/>
        <v>578</v>
      </c>
      <c r="AC7" s="2">
        <f t="shared" si="5"/>
        <v>102</v>
      </c>
      <c r="AD7" s="2"/>
      <c r="AE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5"/>
    </row>
    <row r="8" spans="1:47" ht="12" customHeight="1" x14ac:dyDescent="0.35">
      <c r="A8" s="38">
        <f t="shared" si="4"/>
        <v>6</v>
      </c>
      <c r="B8" s="38">
        <v>39</v>
      </c>
      <c r="C8" s="41"/>
      <c r="D8" s="38">
        <v>2</v>
      </c>
      <c r="E8" s="38">
        <v>3</v>
      </c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>
        <v>1</v>
      </c>
      <c r="R8" s="38"/>
      <c r="S8" s="38"/>
      <c r="T8" s="38"/>
      <c r="U8" s="38"/>
      <c r="V8" s="38"/>
      <c r="W8" s="15">
        <v>0</v>
      </c>
      <c r="X8" s="34">
        <v>4</v>
      </c>
      <c r="Y8" s="9">
        <f t="shared" si="0"/>
        <v>4</v>
      </c>
      <c r="Z8" s="2">
        <f t="shared" si="1"/>
        <v>5</v>
      </c>
      <c r="AA8" s="13">
        <f t="shared" si="2"/>
        <v>1</v>
      </c>
      <c r="AB8" s="14">
        <f t="shared" si="3"/>
        <v>39</v>
      </c>
      <c r="AC8" s="2">
        <f t="shared" si="5"/>
        <v>156</v>
      </c>
      <c r="AD8" s="2"/>
      <c r="AE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5"/>
    </row>
    <row r="9" spans="1:47" ht="12" customHeight="1" x14ac:dyDescent="0.35">
      <c r="A9" s="38">
        <f t="shared" si="4"/>
        <v>7</v>
      </c>
      <c r="B9" s="38">
        <v>30</v>
      </c>
      <c r="C9" s="41"/>
      <c r="D9" s="38"/>
      <c r="E9" s="38"/>
      <c r="F9" s="38"/>
      <c r="G9" s="38">
        <v>3</v>
      </c>
      <c r="H9" s="38"/>
      <c r="I9" s="38"/>
      <c r="J9" s="38"/>
      <c r="K9" s="38"/>
      <c r="L9" s="38"/>
      <c r="M9" s="38"/>
      <c r="N9" s="38"/>
      <c r="O9" s="38">
        <v>2</v>
      </c>
      <c r="P9" s="38"/>
      <c r="Q9" s="38"/>
      <c r="R9" s="38"/>
      <c r="S9" s="38">
        <v>1</v>
      </c>
      <c r="T9" s="38"/>
      <c r="U9" s="38"/>
      <c r="V9" s="38"/>
      <c r="W9" s="15">
        <v>0</v>
      </c>
      <c r="X9" s="34">
        <v>13</v>
      </c>
      <c r="Y9" s="9">
        <f t="shared" si="0"/>
        <v>13</v>
      </c>
      <c r="Z9" s="2">
        <f t="shared" si="1"/>
        <v>23</v>
      </c>
      <c r="AA9" s="13">
        <f t="shared" si="2"/>
        <v>10</v>
      </c>
      <c r="AB9" s="14">
        <f t="shared" si="3"/>
        <v>300</v>
      </c>
      <c r="AC9" s="2">
        <f t="shared" si="5"/>
        <v>390</v>
      </c>
      <c r="AD9" s="2"/>
      <c r="AE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5"/>
    </row>
    <row r="10" spans="1:47" ht="12" customHeight="1" x14ac:dyDescent="0.35">
      <c r="A10" s="38">
        <f t="shared" si="4"/>
        <v>8</v>
      </c>
      <c r="B10" s="38">
        <v>45</v>
      </c>
      <c r="C10" s="41">
        <v>4</v>
      </c>
      <c r="D10" s="38"/>
      <c r="E10" s="38"/>
      <c r="F10" s="38"/>
      <c r="G10" s="38"/>
      <c r="H10" s="38">
        <v>1</v>
      </c>
      <c r="I10" s="38"/>
      <c r="J10" s="38"/>
      <c r="K10" s="38"/>
      <c r="L10" s="38"/>
      <c r="M10" s="38"/>
      <c r="N10" s="38">
        <v>1</v>
      </c>
      <c r="O10" s="38"/>
      <c r="P10" s="38"/>
      <c r="Q10" s="38"/>
      <c r="R10" s="38"/>
      <c r="S10" s="38"/>
      <c r="T10" s="38">
        <v>2</v>
      </c>
      <c r="U10" s="38"/>
      <c r="V10" s="38"/>
      <c r="W10" s="15">
        <v>0</v>
      </c>
      <c r="X10" s="34">
        <v>18</v>
      </c>
      <c r="Y10" s="9">
        <f t="shared" si="0"/>
        <v>18</v>
      </c>
      <c r="Z10" s="2">
        <f t="shared" si="1"/>
        <v>20</v>
      </c>
      <c r="AA10" s="13">
        <f t="shared" si="2"/>
        <v>2</v>
      </c>
      <c r="AB10" s="14">
        <f t="shared" si="3"/>
        <v>90</v>
      </c>
      <c r="AC10" s="2">
        <f t="shared" si="5"/>
        <v>810</v>
      </c>
      <c r="AD10" s="2"/>
      <c r="AE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5"/>
    </row>
    <row r="11" spans="1:47" ht="12" customHeight="1" x14ac:dyDescent="0.35">
      <c r="A11" s="38">
        <f t="shared" si="4"/>
        <v>9</v>
      </c>
      <c r="B11" s="38">
        <v>20</v>
      </c>
      <c r="C11" s="41"/>
      <c r="D11" s="38"/>
      <c r="E11" s="38"/>
      <c r="F11" s="38">
        <v>1</v>
      </c>
      <c r="G11" s="38"/>
      <c r="H11" s="38"/>
      <c r="I11" s="38"/>
      <c r="J11" s="38"/>
      <c r="K11" s="38">
        <v>1</v>
      </c>
      <c r="L11" s="38"/>
      <c r="M11" s="38"/>
      <c r="N11" s="38"/>
      <c r="O11" s="38"/>
      <c r="P11" s="38"/>
      <c r="Q11" s="38"/>
      <c r="R11" s="38">
        <v>1</v>
      </c>
      <c r="S11" s="38">
        <v>3</v>
      </c>
      <c r="T11" s="38"/>
      <c r="U11" s="38"/>
      <c r="V11" s="38"/>
      <c r="W11" s="15">
        <v>0</v>
      </c>
      <c r="X11" s="34">
        <v>16</v>
      </c>
      <c r="Y11" s="9">
        <f t="shared" si="0"/>
        <v>16</v>
      </c>
      <c r="Z11" s="2">
        <f t="shared" si="1"/>
        <v>17</v>
      </c>
      <c r="AA11" s="13">
        <f t="shared" si="2"/>
        <v>1</v>
      </c>
      <c r="AB11" s="14">
        <f t="shared" si="3"/>
        <v>20</v>
      </c>
      <c r="AC11" s="2">
        <f t="shared" si="5"/>
        <v>320</v>
      </c>
      <c r="AD11" s="2"/>
      <c r="AE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5"/>
    </row>
    <row r="12" spans="1:47" ht="12" customHeight="1" x14ac:dyDescent="0.35">
      <c r="A12" s="38">
        <f t="shared" si="4"/>
        <v>10</v>
      </c>
      <c r="B12" s="38">
        <v>39</v>
      </c>
      <c r="C12" s="41"/>
      <c r="D12" s="38">
        <v>2</v>
      </c>
      <c r="E12" s="38"/>
      <c r="F12" s="38"/>
      <c r="G12" s="38"/>
      <c r="H12" s="38"/>
      <c r="I12" s="38"/>
      <c r="J12" s="38"/>
      <c r="K12" s="38">
        <v>1</v>
      </c>
      <c r="L12" s="38">
        <v>2</v>
      </c>
      <c r="M12" s="38"/>
      <c r="N12" s="38"/>
      <c r="O12" s="38"/>
      <c r="P12" s="38"/>
      <c r="Q12" s="38">
        <v>1</v>
      </c>
      <c r="R12" s="38">
        <v>1</v>
      </c>
      <c r="S12" s="38"/>
      <c r="T12" s="38"/>
      <c r="U12" s="38"/>
      <c r="V12" s="38"/>
      <c r="W12" s="15">
        <v>0</v>
      </c>
      <c r="X12" s="34">
        <v>11</v>
      </c>
      <c r="Y12" s="9">
        <f t="shared" si="0"/>
        <v>11</v>
      </c>
      <c r="Z12" s="2">
        <f t="shared" si="1"/>
        <v>11</v>
      </c>
      <c r="AA12" s="13">
        <f t="shared" si="2"/>
        <v>0</v>
      </c>
      <c r="AB12" s="14">
        <f t="shared" si="3"/>
        <v>0</v>
      </c>
      <c r="AC12" s="2">
        <f t="shared" si="5"/>
        <v>429</v>
      </c>
      <c r="AD12" s="2"/>
      <c r="AE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5"/>
    </row>
    <row r="13" spans="1:47" ht="12" customHeight="1" x14ac:dyDescent="0.35">
      <c r="A13" s="38">
        <f t="shared" si="4"/>
        <v>11</v>
      </c>
      <c r="B13" s="38">
        <v>39</v>
      </c>
      <c r="C13" s="41"/>
      <c r="D13" s="38"/>
      <c r="E13" s="38"/>
      <c r="F13" s="38"/>
      <c r="G13" s="38"/>
      <c r="H13" s="38"/>
      <c r="I13" s="38"/>
      <c r="J13" s="38">
        <v>4</v>
      </c>
      <c r="K13" s="38"/>
      <c r="L13" s="38">
        <v>1</v>
      </c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15">
        <v>0</v>
      </c>
      <c r="X13" s="34">
        <v>14</v>
      </c>
      <c r="Y13" s="9">
        <f t="shared" si="0"/>
        <v>14</v>
      </c>
      <c r="Z13" s="2">
        <f t="shared" si="1"/>
        <v>14</v>
      </c>
      <c r="AA13" s="13">
        <f t="shared" si="2"/>
        <v>0</v>
      </c>
      <c r="AB13" s="14">
        <f t="shared" si="3"/>
        <v>0</v>
      </c>
      <c r="AC13" s="2">
        <f t="shared" si="5"/>
        <v>546</v>
      </c>
      <c r="AD13" s="2"/>
      <c r="AE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5"/>
    </row>
    <row r="14" spans="1:47" ht="12" customHeight="1" x14ac:dyDescent="0.35">
      <c r="A14" s="38">
        <f t="shared" si="4"/>
        <v>12</v>
      </c>
      <c r="B14" s="38">
        <v>11</v>
      </c>
      <c r="C14" s="41"/>
      <c r="D14" s="38"/>
      <c r="E14" s="38"/>
      <c r="F14" s="38"/>
      <c r="G14" s="38">
        <v>1</v>
      </c>
      <c r="H14" s="38"/>
      <c r="I14" s="38"/>
      <c r="J14" s="38"/>
      <c r="K14" s="38"/>
      <c r="L14" s="38"/>
      <c r="M14" s="38"/>
      <c r="N14" s="38">
        <v>1</v>
      </c>
      <c r="O14" s="38"/>
      <c r="P14" s="38"/>
      <c r="Q14" s="38"/>
      <c r="R14" s="38"/>
      <c r="S14" s="38"/>
      <c r="T14" s="38">
        <v>1</v>
      </c>
      <c r="U14" s="38">
        <v>1</v>
      </c>
      <c r="V14" s="38"/>
      <c r="W14" s="15">
        <v>0</v>
      </c>
      <c r="X14" s="34">
        <v>13</v>
      </c>
      <c r="Y14" s="9">
        <f t="shared" si="0"/>
        <v>13</v>
      </c>
      <c r="Z14" s="2">
        <f t="shared" si="1"/>
        <v>13</v>
      </c>
      <c r="AA14" s="13">
        <f t="shared" si="2"/>
        <v>0</v>
      </c>
      <c r="AB14" s="14">
        <f t="shared" si="3"/>
        <v>0</v>
      </c>
      <c r="AC14" s="2">
        <f t="shared" si="5"/>
        <v>143</v>
      </c>
      <c r="AD14" s="2"/>
      <c r="AE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5"/>
    </row>
    <row r="15" spans="1:47" ht="12" customHeight="1" x14ac:dyDescent="0.35">
      <c r="A15" s="38">
        <f t="shared" si="4"/>
        <v>13</v>
      </c>
      <c r="B15" s="38">
        <v>45</v>
      </c>
      <c r="C15" s="41"/>
      <c r="D15" s="38"/>
      <c r="E15" s="38"/>
      <c r="F15" s="38">
        <v>1</v>
      </c>
      <c r="G15" s="38"/>
      <c r="H15" s="38"/>
      <c r="I15" s="38"/>
      <c r="J15" s="38"/>
      <c r="K15" s="38"/>
      <c r="L15" s="38"/>
      <c r="M15" s="38">
        <v>3</v>
      </c>
      <c r="N15" s="38"/>
      <c r="O15" s="38"/>
      <c r="P15" s="38">
        <v>1</v>
      </c>
      <c r="Q15" s="38"/>
      <c r="R15" s="38"/>
      <c r="S15" s="38"/>
      <c r="T15" s="38"/>
      <c r="U15" s="38"/>
      <c r="V15" s="38"/>
      <c r="W15" s="15">
        <v>0</v>
      </c>
      <c r="X15" s="34">
        <v>7</v>
      </c>
      <c r="Y15" s="9">
        <f t="shared" si="0"/>
        <v>7</v>
      </c>
      <c r="Z15" s="2">
        <f t="shared" si="1"/>
        <v>12</v>
      </c>
      <c r="AA15" s="13">
        <f t="shared" si="2"/>
        <v>5</v>
      </c>
      <c r="AB15" s="14">
        <f t="shared" si="3"/>
        <v>225</v>
      </c>
      <c r="AC15" s="2">
        <f t="shared" si="5"/>
        <v>315</v>
      </c>
      <c r="AD15" s="2"/>
      <c r="AE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5"/>
    </row>
    <row r="16" spans="1:47" ht="12" customHeight="1" x14ac:dyDescent="0.35">
      <c r="A16" s="38">
        <f t="shared" si="4"/>
        <v>14</v>
      </c>
      <c r="B16" s="38">
        <v>41</v>
      </c>
      <c r="C16" s="41"/>
      <c r="D16" s="38"/>
      <c r="E16" s="38">
        <v>1</v>
      </c>
      <c r="F16" s="38"/>
      <c r="G16" s="38"/>
      <c r="H16" s="38">
        <v>1</v>
      </c>
      <c r="I16" s="38"/>
      <c r="J16" s="38"/>
      <c r="K16" s="38">
        <v>2</v>
      </c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15">
        <v>0</v>
      </c>
      <c r="X16" s="34">
        <v>6</v>
      </c>
      <c r="Y16" s="9">
        <f t="shared" si="0"/>
        <v>6</v>
      </c>
      <c r="Z16" s="2">
        <f t="shared" si="1"/>
        <v>8</v>
      </c>
      <c r="AA16" s="13">
        <f t="shared" si="2"/>
        <v>2</v>
      </c>
      <c r="AB16" s="14">
        <f t="shared" si="3"/>
        <v>82</v>
      </c>
      <c r="AC16" s="2">
        <f t="shared" si="5"/>
        <v>246</v>
      </c>
      <c r="AD16" s="2"/>
      <c r="AE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5"/>
    </row>
    <row r="17" spans="1:48" ht="12" customHeight="1" x14ac:dyDescent="0.35">
      <c r="A17" s="38">
        <f t="shared" si="4"/>
        <v>15</v>
      </c>
      <c r="B17" s="38">
        <v>64</v>
      </c>
      <c r="C17" s="41"/>
      <c r="D17" s="38"/>
      <c r="E17" s="38"/>
      <c r="F17" s="38"/>
      <c r="G17" s="38"/>
      <c r="H17" s="38">
        <v>1</v>
      </c>
      <c r="I17" s="38">
        <v>2</v>
      </c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15">
        <v>0</v>
      </c>
      <c r="X17" s="34">
        <v>9</v>
      </c>
      <c r="Y17" s="9">
        <f t="shared" si="0"/>
        <v>9</v>
      </c>
      <c r="Z17" s="2">
        <f t="shared" si="1"/>
        <v>9</v>
      </c>
      <c r="AA17" s="13">
        <f t="shared" si="2"/>
        <v>0</v>
      </c>
      <c r="AB17" s="14">
        <f t="shared" si="3"/>
        <v>0</v>
      </c>
      <c r="AC17" s="2">
        <f t="shared" si="5"/>
        <v>576</v>
      </c>
      <c r="AD17" s="2"/>
      <c r="AE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5"/>
    </row>
    <row r="18" spans="1:48" ht="12" customHeight="1" x14ac:dyDescent="0.35">
      <c r="A18" s="38">
        <f t="shared" si="4"/>
        <v>16</v>
      </c>
      <c r="B18" s="38">
        <v>53</v>
      </c>
      <c r="C18" s="41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>
        <v>2</v>
      </c>
      <c r="O18" s="38"/>
      <c r="P18" s="38"/>
      <c r="Q18" s="38"/>
      <c r="R18" s="38"/>
      <c r="S18" s="38"/>
      <c r="T18" s="38"/>
      <c r="U18" s="38">
        <v>2</v>
      </c>
      <c r="V18" s="38"/>
      <c r="W18" s="15">
        <v>0</v>
      </c>
      <c r="X18" s="34">
        <v>9</v>
      </c>
      <c r="Y18" s="9">
        <f t="shared" si="0"/>
        <v>9</v>
      </c>
      <c r="Z18" s="2">
        <f t="shared" si="1"/>
        <v>10</v>
      </c>
      <c r="AA18" s="13">
        <f t="shared" si="2"/>
        <v>1</v>
      </c>
      <c r="AB18" s="14">
        <f t="shared" si="3"/>
        <v>53</v>
      </c>
      <c r="AC18" s="2">
        <f t="shared" si="5"/>
        <v>477</v>
      </c>
      <c r="AD18" s="2"/>
      <c r="AE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5"/>
    </row>
    <row r="19" spans="1:48" ht="12" customHeight="1" x14ac:dyDescent="0.35">
      <c r="A19" s="38">
        <f t="shared" si="4"/>
        <v>17</v>
      </c>
      <c r="B19" s="38">
        <v>68</v>
      </c>
      <c r="C19" s="41"/>
      <c r="D19" s="38"/>
      <c r="E19" s="38"/>
      <c r="F19" s="38"/>
      <c r="G19" s="38"/>
      <c r="H19" s="38"/>
      <c r="I19" s="38"/>
      <c r="J19" s="38"/>
      <c r="K19" s="38"/>
      <c r="L19" s="38">
        <v>1</v>
      </c>
      <c r="M19" s="38"/>
      <c r="N19" s="38"/>
      <c r="O19" s="38"/>
      <c r="P19" s="38">
        <v>2</v>
      </c>
      <c r="Q19" s="38"/>
      <c r="R19" s="38"/>
      <c r="S19" s="38"/>
      <c r="T19" s="38"/>
      <c r="U19" s="38"/>
      <c r="V19" s="38"/>
      <c r="W19" s="15">
        <v>0</v>
      </c>
      <c r="X19" s="34">
        <v>14</v>
      </c>
      <c r="Y19" s="9">
        <f t="shared" si="0"/>
        <v>14</v>
      </c>
      <c r="Z19" s="2">
        <f t="shared" si="1"/>
        <v>14</v>
      </c>
      <c r="AA19" s="13">
        <f t="shared" si="2"/>
        <v>0</v>
      </c>
      <c r="AB19" s="14">
        <f t="shared" si="3"/>
        <v>0</v>
      </c>
      <c r="AC19" s="2">
        <f t="shared" si="5"/>
        <v>952</v>
      </c>
      <c r="AD19" s="2"/>
      <c r="AE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5"/>
    </row>
    <row r="20" spans="1:48" ht="12" customHeight="1" x14ac:dyDescent="0.35">
      <c r="A20" s="38">
        <f t="shared" si="4"/>
        <v>18</v>
      </c>
      <c r="B20" s="38">
        <v>58</v>
      </c>
      <c r="C20" s="41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>
        <v>2</v>
      </c>
      <c r="W20" s="15">
        <v>0</v>
      </c>
      <c r="X20" s="34">
        <v>5</v>
      </c>
      <c r="Y20" s="9">
        <f t="shared" si="0"/>
        <v>5</v>
      </c>
      <c r="Z20" s="2">
        <f t="shared" si="1"/>
        <v>6</v>
      </c>
      <c r="AA20" s="13">
        <f t="shared" si="2"/>
        <v>1</v>
      </c>
      <c r="AB20" s="14">
        <f t="shared" si="3"/>
        <v>58</v>
      </c>
      <c r="AC20" s="2">
        <f t="shared" si="5"/>
        <v>290</v>
      </c>
      <c r="AD20" s="2"/>
      <c r="AE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5"/>
    </row>
    <row r="21" spans="1:48" ht="12" customHeight="1" x14ac:dyDescent="0.35">
      <c r="A21" s="38">
        <f t="shared" si="4"/>
        <v>19</v>
      </c>
      <c r="B21" s="38">
        <v>70</v>
      </c>
      <c r="C21" s="41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>
        <v>1</v>
      </c>
      <c r="P21" s="38"/>
      <c r="Q21" s="38"/>
      <c r="R21" s="38"/>
      <c r="S21" s="38"/>
      <c r="T21" s="38"/>
      <c r="U21" s="38"/>
      <c r="V21" s="38"/>
      <c r="W21" s="15">
        <v>0</v>
      </c>
      <c r="X21" s="42">
        <v>9</v>
      </c>
      <c r="Y21" s="9">
        <f t="shared" si="0"/>
        <v>9</v>
      </c>
      <c r="Z21" s="2">
        <f t="shared" si="1"/>
        <v>9</v>
      </c>
      <c r="AA21" s="13">
        <f t="shared" si="2"/>
        <v>0</v>
      </c>
      <c r="AB21" s="14">
        <f t="shared" si="3"/>
        <v>0</v>
      </c>
      <c r="AC21" s="2">
        <f t="shared" si="5"/>
        <v>630</v>
      </c>
      <c r="AD21" s="2"/>
      <c r="AE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5"/>
    </row>
    <row r="22" spans="1:48" ht="12" customHeight="1" x14ac:dyDescent="0.35">
      <c r="A22" s="38">
        <f t="shared" si="4"/>
        <v>20</v>
      </c>
      <c r="B22" s="38">
        <v>43</v>
      </c>
      <c r="C22" s="41"/>
      <c r="D22" s="38"/>
      <c r="E22" s="38"/>
      <c r="F22" s="38">
        <v>1</v>
      </c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15">
        <v>0</v>
      </c>
      <c r="X22" s="42">
        <v>6</v>
      </c>
      <c r="Y22" s="9">
        <f t="shared" si="0"/>
        <v>6</v>
      </c>
      <c r="Z22" s="2">
        <f t="shared" si="1"/>
        <v>6</v>
      </c>
      <c r="AA22" s="13">
        <f t="shared" si="2"/>
        <v>0</v>
      </c>
      <c r="AB22" s="14">
        <f t="shared" si="3"/>
        <v>0</v>
      </c>
      <c r="AC22" s="2">
        <f t="shared" si="5"/>
        <v>258</v>
      </c>
      <c r="AD22" s="2"/>
      <c r="AE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5"/>
    </row>
    <row r="23" spans="1:48" ht="16.5" x14ac:dyDescent="0.4">
      <c r="B23" s="22" t="s">
        <v>6</v>
      </c>
      <c r="C23" s="31">
        <v>0</v>
      </c>
      <c r="D23" s="32">
        <v>1</v>
      </c>
      <c r="E23" s="32">
        <v>1</v>
      </c>
      <c r="F23" s="32">
        <v>6</v>
      </c>
      <c r="G23" s="32">
        <v>1</v>
      </c>
      <c r="H23" s="32">
        <v>1</v>
      </c>
      <c r="I23" s="32">
        <v>4</v>
      </c>
      <c r="J23" s="32">
        <v>3</v>
      </c>
      <c r="K23" s="32">
        <v>3</v>
      </c>
      <c r="L23" s="32">
        <v>2</v>
      </c>
      <c r="M23" s="32">
        <v>0</v>
      </c>
      <c r="N23" s="32">
        <v>5</v>
      </c>
      <c r="O23" s="32">
        <v>9</v>
      </c>
      <c r="P23" s="32">
        <v>6</v>
      </c>
      <c r="Q23" s="32">
        <v>0</v>
      </c>
      <c r="R23" s="32">
        <v>2</v>
      </c>
      <c r="S23" s="32">
        <v>2</v>
      </c>
      <c r="T23" s="32">
        <v>7</v>
      </c>
      <c r="U23" s="32">
        <v>0</v>
      </c>
      <c r="V23" s="33">
        <v>3</v>
      </c>
      <c r="W23" s="9"/>
      <c r="X23" s="43">
        <f t="shared" ref="X23:AC23" si="6">SUM(X3:X22)</f>
        <v>238</v>
      </c>
      <c r="Y23" s="14">
        <f t="shared" si="6"/>
        <v>238</v>
      </c>
      <c r="Z23" s="14">
        <f t="shared" si="6"/>
        <v>471</v>
      </c>
      <c r="AA23" s="14">
        <f t="shared" si="6"/>
        <v>233</v>
      </c>
      <c r="AB23" s="25">
        <f t="shared" si="6"/>
        <v>2604</v>
      </c>
      <c r="AC23" s="2">
        <f t="shared" si="6"/>
        <v>7404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2"/>
      <c r="AU23" s="2"/>
    </row>
    <row r="24" spans="1:48" x14ac:dyDescent="0.35"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</row>
    <row r="25" spans="1:48" ht="12" customHeight="1" x14ac:dyDescent="0.35">
      <c r="X25" s="26"/>
      <c r="Y25" s="26"/>
      <c r="Z25" s="26"/>
      <c r="AA25" s="27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</row>
    <row r="26" spans="1:48" ht="12" customHeight="1" x14ac:dyDescent="0.35">
      <c r="X26" s="26"/>
      <c r="Y26" s="26"/>
      <c r="Z26" s="26"/>
      <c r="AA26" s="27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</row>
    <row r="27" spans="1:48" ht="12" customHeight="1" x14ac:dyDescent="0.35">
      <c r="X27" s="26"/>
      <c r="Y27" s="26"/>
      <c r="Z27" s="26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7"/>
      <c r="AV27" s="5"/>
    </row>
    <row r="28" spans="1:48" ht="12" customHeight="1" x14ac:dyDescent="0.35">
      <c r="X28" s="26"/>
      <c r="Y28" s="26"/>
      <c r="Z28" s="26"/>
      <c r="AA28" s="28"/>
    </row>
    <row r="29" spans="1:48" ht="12" customHeight="1" x14ac:dyDescent="0.35">
      <c r="X29" s="26"/>
      <c r="Y29" s="26"/>
      <c r="Z29" s="26"/>
      <c r="AA29" s="28"/>
    </row>
    <row r="30" spans="1:48" ht="12" customHeight="1" x14ac:dyDescent="0.35">
      <c r="X30" s="26"/>
      <c r="Y30" s="26"/>
      <c r="Z30" s="26"/>
      <c r="AA30" s="28"/>
    </row>
    <row r="31" spans="1:48" ht="12" customHeight="1" x14ac:dyDescent="0.35">
      <c r="X31" s="26"/>
      <c r="Y31" s="26"/>
      <c r="Z31" s="26"/>
      <c r="AA31" s="28"/>
    </row>
    <row r="32" spans="1:48" ht="12" customHeight="1" x14ac:dyDescent="0.35">
      <c r="X32" s="26"/>
      <c r="Y32" s="26"/>
      <c r="Z32" s="26"/>
      <c r="AA32" s="28"/>
    </row>
    <row r="33" spans="1:30" ht="12" customHeight="1" x14ac:dyDescent="0.35">
      <c r="X33" s="26"/>
      <c r="Y33" s="26"/>
      <c r="Z33" s="26"/>
      <c r="AA33" s="28"/>
    </row>
    <row r="34" spans="1:30" ht="12" customHeight="1" x14ac:dyDescent="0.35">
      <c r="X34" s="26"/>
      <c r="Y34" s="26"/>
      <c r="Z34" s="26"/>
      <c r="AA34" s="28"/>
    </row>
    <row r="35" spans="1:30" ht="12" customHeight="1" x14ac:dyDescent="0.35">
      <c r="X35" s="26"/>
      <c r="Y35" s="26"/>
      <c r="Z35" s="26"/>
      <c r="AA35" s="28"/>
    </row>
    <row r="36" spans="1:30" ht="12" customHeight="1" x14ac:dyDescent="0.35">
      <c r="X36" s="26"/>
      <c r="Y36" s="26"/>
      <c r="Z36" s="26"/>
      <c r="AA36" s="28"/>
    </row>
    <row r="37" spans="1:30" ht="12" customHeight="1" x14ac:dyDescent="0.35">
      <c r="X37" s="26"/>
      <c r="Y37" s="26"/>
      <c r="Z37" s="26"/>
      <c r="AA37" s="28"/>
    </row>
    <row r="38" spans="1:30" ht="12" customHeight="1" x14ac:dyDescent="0.35">
      <c r="X38" s="26"/>
      <c r="Y38" s="26"/>
      <c r="Z38" s="26"/>
      <c r="AA38" s="28"/>
    </row>
    <row r="39" spans="1:30" ht="12" customHeight="1" x14ac:dyDescent="0.35">
      <c r="X39" s="26"/>
      <c r="Y39" s="26"/>
      <c r="Z39" s="26"/>
      <c r="AA39" s="28"/>
    </row>
    <row r="40" spans="1:30" ht="12" customHeight="1" x14ac:dyDescent="0.35">
      <c r="X40" s="26"/>
      <c r="Y40" s="26"/>
      <c r="Z40" s="26"/>
      <c r="AA40" s="28"/>
    </row>
    <row r="41" spans="1:30" ht="12" customHeight="1" x14ac:dyDescent="0.35">
      <c r="X41" s="26"/>
      <c r="Y41" s="26"/>
      <c r="Z41" s="26"/>
      <c r="AA41" s="28"/>
    </row>
    <row r="42" spans="1:30" ht="12" customHeight="1" x14ac:dyDescent="0.35">
      <c r="X42" s="26"/>
      <c r="Y42" s="26"/>
      <c r="Z42" s="26"/>
      <c r="AA42" s="28"/>
    </row>
    <row r="43" spans="1:30" ht="12" customHeight="1" x14ac:dyDescent="0.35">
      <c r="X43" s="26"/>
      <c r="Y43" s="26"/>
      <c r="Z43" s="26"/>
      <c r="AA43" s="28"/>
    </row>
    <row r="44" spans="1:30" ht="12" customHeight="1" x14ac:dyDescent="0.35">
      <c r="X44" s="26"/>
      <c r="Y44" s="26"/>
      <c r="Z44" s="26"/>
      <c r="AA44" s="28"/>
    </row>
    <row r="45" spans="1:30" x14ac:dyDescent="0.35">
      <c r="A45" s="26"/>
      <c r="Y45" s="26"/>
      <c r="Z45" s="26"/>
      <c r="AC45" s="28"/>
      <c r="AD45" s="28"/>
    </row>
    <row r="46" spans="1:30" x14ac:dyDescent="0.35">
      <c r="D46" s="17"/>
    </row>
    <row r="47" spans="1:30" x14ac:dyDescent="0.35">
      <c r="D47" s="17"/>
    </row>
    <row r="48" spans="1:30" x14ac:dyDescent="0.35">
      <c r="D48" s="17"/>
    </row>
    <row r="49" spans="3:27" x14ac:dyDescent="0.35"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28"/>
    </row>
    <row r="50" spans="3:27" x14ac:dyDescent="0.35"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28"/>
    </row>
    <row r="51" spans="3:27" x14ac:dyDescent="0.35"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</row>
    <row r="52" spans="3:27" x14ac:dyDescent="0.35">
      <c r="C52" s="17"/>
      <c r="D52" s="17"/>
    </row>
    <row r="53" spans="3:27" x14ac:dyDescent="0.35">
      <c r="C53" s="17"/>
      <c r="X53" s="17"/>
      <c r="AA53" s="26"/>
    </row>
    <row r="54" spans="3:27" x14ac:dyDescent="0.35">
      <c r="C54" s="17"/>
      <c r="X54" s="17"/>
      <c r="AA54" s="26"/>
    </row>
    <row r="55" spans="3:27" x14ac:dyDescent="0.35">
      <c r="C55" s="17"/>
      <c r="X55" s="17"/>
      <c r="AA55" s="26"/>
    </row>
    <row r="56" spans="3:27" x14ac:dyDescent="0.35">
      <c r="C56" s="17"/>
      <c r="X56" s="17"/>
      <c r="AA56" s="26"/>
    </row>
    <row r="57" spans="3:27" x14ac:dyDescent="0.35">
      <c r="C57" s="17"/>
      <c r="X57" s="17"/>
      <c r="AA57" s="26"/>
    </row>
    <row r="58" spans="3:27" x14ac:dyDescent="0.35">
      <c r="C58" s="17"/>
      <c r="X58" s="17"/>
      <c r="AA58" s="26"/>
    </row>
    <row r="59" spans="3:27" x14ac:dyDescent="0.35">
      <c r="C59" s="17"/>
      <c r="X59" s="17"/>
      <c r="AA59" s="26"/>
    </row>
    <row r="60" spans="3:27" x14ac:dyDescent="0.35">
      <c r="C60" s="17"/>
      <c r="X60" s="17"/>
      <c r="AA60" s="26"/>
    </row>
    <row r="61" spans="3:27" x14ac:dyDescent="0.35">
      <c r="C61" s="17"/>
      <c r="X61" s="17"/>
      <c r="AA61" s="26"/>
    </row>
    <row r="62" spans="3:27" x14ac:dyDescent="0.35">
      <c r="C62" s="17"/>
      <c r="X62" s="17"/>
      <c r="AA62" s="26"/>
    </row>
    <row r="63" spans="3:27" x14ac:dyDescent="0.35">
      <c r="C63" s="17"/>
      <c r="X63" s="17"/>
      <c r="AA63" s="26"/>
    </row>
    <row r="64" spans="3:27" x14ac:dyDescent="0.35">
      <c r="C64" s="17"/>
      <c r="X64" s="17"/>
      <c r="AA64" s="26"/>
    </row>
    <row r="65" spans="3:27" x14ac:dyDescent="0.35">
      <c r="C65" s="17"/>
      <c r="X65" s="17"/>
      <c r="AA65" s="26"/>
    </row>
    <row r="66" spans="3:27" x14ac:dyDescent="0.35">
      <c r="C66" s="17"/>
      <c r="X66" s="17"/>
      <c r="AA66" s="26"/>
    </row>
    <row r="67" spans="3:27" x14ac:dyDescent="0.35">
      <c r="C67" s="17"/>
      <c r="X67" s="17"/>
      <c r="AA67" s="26"/>
    </row>
    <row r="68" spans="3:27" x14ac:dyDescent="0.35">
      <c r="C68" s="17"/>
      <c r="X68" s="17"/>
      <c r="AA68" s="26"/>
    </row>
    <row r="69" spans="3:27" x14ac:dyDescent="0.35">
      <c r="C69" s="17"/>
      <c r="X69" s="17"/>
      <c r="AA69" s="26"/>
    </row>
    <row r="70" spans="3:27" x14ac:dyDescent="0.35">
      <c r="X70" s="17"/>
      <c r="AA70" s="26"/>
    </row>
    <row r="71" spans="3:27" x14ac:dyDescent="0.35">
      <c r="X71" s="17"/>
      <c r="AA71" s="26"/>
    </row>
    <row r="72" spans="3:27" x14ac:dyDescent="0.35">
      <c r="X72" s="17"/>
      <c r="AA72" s="26"/>
    </row>
    <row r="73" spans="3:27" x14ac:dyDescent="0.35">
      <c r="W73" s="26"/>
      <c r="X73" s="17"/>
    </row>
    <row r="115" spans="25:25" x14ac:dyDescent="0.35">
      <c r="Y115" s="29"/>
    </row>
  </sheetData>
  <phoneticPr fontId="0" type="noConversion"/>
  <conditionalFormatting sqref="Y25:Z44">
    <cfRule type="cellIs" dxfId="2" priority="1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CJ155"/>
  <sheetViews>
    <sheetView showZeros="0" zoomScale="75" workbookViewId="0">
      <selection activeCell="BP73" sqref="BP73"/>
    </sheetView>
  </sheetViews>
  <sheetFormatPr defaultColWidth="9.1796875" defaultRowHeight="15.5" x14ac:dyDescent="0.35"/>
  <cols>
    <col min="1" max="2" width="9.1796875" style="1"/>
    <col min="3" max="24" width="3.7265625" style="1" customWidth="1"/>
    <col min="25" max="25" width="3.54296875" style="1" customWidth="1"/>
    <col min="26" max="26" width="3.7265625" style="1" customWidth="1"/>
    <col min="27" max="27" width="4.7265625" style="1" customWidth="1"/>
    <col min="28" max="62" width="3.7265625" style="1" customWidth="1"/>
    <col min="63" max="63" width="6" style="1" customWidth="1"/>
    <col min="64" max="64" width="7" style="1" bestFit="1" customWidth="1"/>
    <col min="65" max="65" width="11.1796875" style="1" bestFit="1" customWidth="1"/>
    <col min="66" max="66" width="10.81640625" style="1" bestFit="1" customWidth="1"/>
    <col min="67" max="67" width="11.7265625" style="1" bestFit="1" customWidth="1"/>
    <col min="68" max="68" width="9.26953125" style="1" bestFit="1" customWidth="1"/>
    <col min="69" max="69" width="12" style="1" bestFit="1" customWidth="1"/>
    <col min="70" max="74" width="5" style="1" customWidth="1"/>
    <col min="75" max="87" width="4.54296875" style="1" customWidth="1"/>
    <col min="88" max="88" width="5.54296875" style="1" customWidth="1"/>
    <col min="89" max="16384" width="9.1796875" style="1"/>
  </cols>
  <sheetData>
    <row r="1" spans="1:87" x14ac:dyDescent="0.35">
      <c r="C1" s="1" t="s">
        <v>7</v>
      </c>
      <c r="BK1" s="30" t="s">
        <v>1</v>
      </c>
      <c r="BL1" s="30" t="s">
        <v>2</v>
      </c>
      <c r="BM1" s="30" t="s">
        <v>3</v>
      </c>
      <c r="BN1" s="2"/>
      <c r="BO1" s="3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4"/>
      <c r="CI1" s="5"/>
    </row>
    <row r="2" spans="1:87" ht="16.5" x14ac:dyDescent="0.4">
      <c r="A2" s="1" t="s">
        <v>5</v>
      </c>
      <c r="B2" s="30" t="s">
        <v>4</v>
      </c>
      <c r="C2" s="6">
        <v>1</v>
      </c>
      <c r="D2" s="6">
        <v>2</v>
      </c>
      <c r="E2" s="6">
        <v>3</v>
      </c>
      <c r="F2" s="6">
        <v>4</v>
      </c>
      <c r="G2" s="6">
        <v>5</v>
      </c>
      <c r="H2" s="6">
        <v>6</v>
      </c>
      <c r="I2" s="6">
        <v>7</v>
      </c>
      <c r="J2" s="6">
        <v>8</v>
      </c>
      <c r="K2" s="6">
        <v>9</v>
      </c>
      <c r="L2" s="6">
        <v>10</v>
      </c>
      <c r="M2" s="6">
        <v>11</v>
      </c>
      <c r="N2" s="6">
        <v>12</v>
      </c>
      <c r="O2" s="6">
        <v>13</v>
      </c>
      <c r="P2" s="6">
        <v>14</v>
      </c>
      <c r="Q2" s="6">
        <v>15</v>
      </c>
      <c r="R2" s="6">
        <v>16</v>
      </c>
      <c r="S2" s="6">
        <v>17</v>
      </c>
      <c r="T2" s="6">
        <v>18</v>
      </c>
      <c r="U2" s="6">
        <v>19</v>
      </c>
      <c r="V2" s="7">
        <v>20</v>
      </c>
      <c r="W2" s="7">
        <f t="shared" ref="W2:BJ2" si="0">V2+1</f>
        <v>21</v>
      </c>
      <c r="X2" s="7">
        <f t="shared" si="0"/>
        <v>22</v>
      </c>
      <c r="Y2" s="7">
        <f t="shared" si="0"/>
        <v>23</v>
      </c>
      <c r="Z2" s="7">
        <f t="shared" si="0"/>
        <v>24</v>
      </c>
      <c r="AA2" s="7">
        <f t="shared" si="0"/>
        <v>25</v>
      </c>
      <c r="AB2" s="7">
        <f t="shared" si="0"/>
        <v>26</v>
      </c>
      <c r="AC2" s="7">
        <f t="shared" si="0"/>
        <v>27</v>
      </c>
      <c r="AD2" s="7">
        <f t="shared" si="0"/>
        <v>28</v>
      </c>
      <c r="AE2" s="7">
        <f t="shared" si="0"/>
        <v>29</v>
      </c>
      <c r="AF2" s="7">
        <f t="shared" si="0"/>
        <v>30</v>
      </c>
      <c r="AG2" s="7">
        <f t="shared" si="0"/>
        <v>31</v>
      </c>
      <c r="AH2" s="7">
        <f t="shared" si="0"/>
        <v>32</v>
      </c>
      <c r="AI2" s="7">
        <f t="shared" si="0"/>
        <v>33</v>
      </c>
      <c r="AJ2" s="7">
        <f t="shared" si="0"/>
        <v>34</v>
      </c>
      <c r="AK2" s="7">
        <f t="shared" si="0"/>
        <v>35</v>
      </c>
      <c r="AL2" s="7">
        <f t="shared" si="0"/>
        <v>36</v>
      </c>
      <c r="AM2" s="7">
        <f t="shared" si="0"/>
        <v>37</v>
      </c>
      <c r="AN2" s="7">
        <f t="shared" si="0"/>
        <v>38</v>
      </c>
      <c r="AO2" s="7">
        <f t="shared" si="0"/>
        <v>39</v>
      </c>
      <c r="AP2" s="7">
        <f t="shared" si="0"/>
        <v>40</v>
      </c>
      <c r="AQ2" s="7">
        <f t="shared" si="0"/>
        <v>41</v>
      </c>
      <c r="AR2" s="7">
        <f t="shared" si="0"/>
        <v>42</v>
      </c>
      <c r="AS2" s="7">
        <f t="shared" si="0"/>
        <v>43</v>
      </c>
      <c r="AT2" s="7">
        <f t="shared" si="0"/>
        <v>44</v>
      </c>
      <c r="AU2" s="7">
        <f t="shared" si="0"/>
        <v>45</v>
      </c>
      <c r="AV2" s="7">
        <f t="shared" si="0"/>
        <v>46</v>
      </c>
      <c r="AW2" s="7">
        <f t="shared" si="0"/>
        <v>47</v>
      </c>
      <c r="AX2" s="7">
        <f t="shared" si="0"/>
        <v>48</v>
      </c>
      <c r="AY2" s="7">
        <f t="shared" si="0"/>
        <v>49</v>
      </c>
      <c r="AZ2" s="7">
        <f t="shared" si="0"/>
        <v>50</v>
      </c>
      <c r="BA2" s="7">
        <f t="shared" si="0"/>
        <v>51</v>
      </c>
      <c r="BB2" s="7">
        <f t="shared" si="0"/>
        <v>52</v>
      </c>
      <c r="BC2" s="7">
        <f t="shared" si="0"/>
        <v>53</v>
      </c>
      <c r="BD2" s="7">
        <f t="shared" si="0"/>
        <v>54</v>
      </c>
      <c r="BE2" s="7">
        <f t="shared" si="0"/>
        <v>55</v>
      </c>
      <c r="BF2" s="7">
        <f t="shared" si="0"/>
        <v>56</v>
      </c>
      <c r="BG2" s="7">
        <f t="shared" si="0"/>
        <v>57</v>
      </c>
      <c r="BH2" s="7">
        <f t="shared" si="0"/>
        <v>58</v>
      </c>
      <c r="BI2" s="7">
        <f t="shared" si="0"/>
        <v>59</v>
      </c>
      <c r="BJ2" s="7">
        <f t="shared" si="0"/>
        <v>60</v>
      </c>
      <c r="BK2" s="15" t="s">
        <v>8</v>
      </c>
      <c r="BL2" s="1" t="s">
        <v>9</v>
      </c>
      <c r="BM2" s="1" t="s">
        <v>10</v>
      </c>
      <c r="BN2" s="2" t="s">
        <v>11</v>
      </c>
      <c r="BO2" s="1" t="s">
        <v>12</v>
      </c>
      <c r="BP2" s="1" t="s">
        <v>0</v>
      </c>
      <c r="BQ2" s="2" t="s">
        <v>13</v>
      </c>
      <c r="BR2" s="2"/>
      <c r="BS2" s="2"/>
      <c r="BT2" s="8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5"/>
      <c r="CI2" s="5"/>
    </row>
    <row r="3" spans="1:87" ht="12" customHeight="1" x14ac:dyDescent="0.35">
      <c r="A3" s="9">
        <v>1</v>
      </c>
      <c r="B3" s="9">
        <v>3</v>
      </c>
      <c r="C3" s="10"/>
      <c r="D3" s="11">
        <v>6</v>
      </c>
      <c r="E3" s="11"/>
      <c r="F3" s="11"/>
      <c r="G3" s="11">
        <v>6</v>
      </c>
      <c r="H3" s="11">
        <v>1</v>
      </c>
      <c r="I3" s="11"/>
      <c r="J3" s="11">
        <v>7</v>
      </c>
      <c r="K3" s="11"/>
      <c r="L3" s="11"/>
      <c r="M3" s="11">
        <v>5</v>
      </c>
      <c r="N3" s="11">
        <v>2</v>
      </c>
      <c r="O3" s="11"/>
      <c r="P3" s="11">
        <v>1</v>
      </c>
      <c r="Q3" s="11"/>
      <c r="R3" s="11"/>
      <c r="S3" s="11">
        <v>2</v>
      </c>
      <c r="T3" s="11">
        <v>2</v>
      </c>
      <c r="U3" s="11"/>
      <c r="V3" s="11">
        <v>1</v>
      </c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2"/>
      <c r="BK3" s="1">
        <v>0</v>
      </c>
      <c r="BL3" s="1">
        <v>23</v>
      </c>
      <c r="BM3" s="9">
        <f t="shared" ref="BM3:BM34" si="1">BL3-BK3</f>
        <v>23</v>
      </c>
      <c r="BN3" s="2">
        <f t="shared" ref="BN3:BN34" si="2">SUMPRODUCT(C3:BJ3,C$63:BJ$63)</f>
        <v>71</v>
      </c>
      <c r="BO3" s="13">
        <f t="shared" ref="BO3:BO34" si="3">BN3-BM3</f>
        <v>48</v>
      </c>
      <c r="BP3" s="14">
        <f t="shared" ref="BP3:BP34" si="4">BO3*B3</f>
        <v>144</v>
      </c>
      <c r="BQ3" s="2"/>
      <c r="BR3" s="2"/>
      <c r="BS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5"/>
    </row>
    <row r="4" spans="1:87" ht="12" customHeight="1" x14ac:dyDescent="0.35">
      <c r="A4" s="9">
        <f t="shared" ref="A4:A35" si="5">1+A3</f>
        <v>2</v>
      </c>
      <c r="B4" s="9">
        <v>7</v>
      </c>
      <c r="C4" s="15">
        <v>1</v>
      </c>
      <c r="D4" s="9">
        <v>1</v>
      </c>
      <c r="E4" s="9"/>
      <c r="F4" s="9">
        <v>10</v>
      </c>
      <c r="G4" s="9"/>
      <c r="H4" s="9"/>
      <c r="I4" s="9"/>
      <c r="J4" s="9"/>
      <c r="K4" s="9">
        <v>3</v>
      </c>
      <c r="L4" s="9"/>
      <c r="M4" s="9"/>
      <c r="N4" s="9">
        <v>2</v>
      </c>
      <c r="O4" s="9">
        <v>7</v>
      </c>
      <c r="P4" s="9"/>
      <c r="Q4" s="9">
        <v>1</v>
      </c>
      <c r="R4" s="9"/>
      <c r="S4" s="9"/>
      <c r="T4" s="9"/>
      <c r="U4" s="9">
        <v>1</v>
      </c>
      <c r="V4" s="9">
        <v>9</v>
      </c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16"/>
      <c r="BK4" s="1">
        <v>0</v>
      </c>
      <c r="BL4" s="17">
        <v>26</v>
      </c>
      <c r="BM4" s="9">
        <f t="shared" si="1"/>
        <v>26</v>
      </c>
      <c r="BN4" s="2">
        <f t="shared" si="2"/>
        <v>162</v>
      </c>
      <c r="BO4" s="13">
        <f t="shared" si="3"/>
        <v>136</v>
      </c>
      <c r="BP4" s="14">
        <f t="shared" si="4"/>
        <v>952</v>
      </c>
      <c r="BQ4" s="2"/>
      <c r="BR4" s="2"/>
      <c r="BS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5"/>
    </row>
    <row r="5" spans="1:87" ht="12" customHeight="1" x14ac:dyDescent="0.35">
      <c r="A5" s="9">
        <f t="shared" si="5"/>
        <v>3</v>
      </c>
      <c r="B5" s="9">
        <v>7</v>
      </c>
      <c r="C5" s="15"/>
      <c r="D5" s="9"/>
      <c r="E5" s="9"/>
      <c r="F5" s="9"/>
      <c r="G5" s="9">
        <v>2</v>
      </c>
      <c r="H5" s="9">
        <v>4</v>
      </c>
      <c r="I5" s="9"/>
      <c r="J5" s="9"/>
      <c r="K5" s="9"/>
      <c r="L5" s="9"/>
      <c r="M5" s="9">
        <v>4</v>
      </c>
      <c r="N5" s="9"/>
      <c r="O5" s="9"/>
      <c r="P5" s="9"/>
      <c r="Q5" s="9"/>
      <c r="R5" s="9"/>
      <c r="S5" s="9">
        <v>5</v>
      </c>
      <c r="T5" s="9"/>
      <c r="U5" s="9">
        <v>4</v>
      </c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16"/>
      <c r="BK5" s="1">
        <v>0</v>
      </c>
      <c r="BL5" s="1">
        <v>15</v>
      </c>
      <c r="BM5" s="9">
        <f t="shared" si="1"/>
        <v>15</v>
      </c>
      <c r="BN5" s="2">
        <f t="shared" si="2"/>
        <v>38</v>
      </c>
      <c r="BO5" s="13">
        <f t="shared" si="3"/>
        <v>23</v>
      </c>
      <c r="BP5" s="14">
        <f t="shared" si="4"/>
        <v>161</v>
      </c>
      <c r="BQ5" s="2"/>
      <c r="BR5" s="2"/>
      <c r="BS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5"/>
    </row>
    <row r="6" spans="1:87" ht="12" customHeight="1" x14ac:dyDescent="0.35">
      <c r="A6" s="9">
        <f t="shared" si="5"/>
        <v>4</v>
      </c>
      <c r="B6" s="9">
        <v>24</v>
      </c>
      <c r="C6" s="15"/>
      <c r="D6" s="9"/>
      <c r="E6" s="9">
        <v>1</v>
      </c>
      <c r="F6" s="9"/>
      <c r="G6" s="9">
        <v>2</v>
      </c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>
        <v>5</v>
      </c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16"/>
      <c r="BK6" s="1">
        <v>0</v>
      </c>
      <c r="BL6" s="1">
        <v>17</v>
      </c>
      <c r="BM6" s="9">
        <f t="shared" si="1"/>
        <v>17</v>
      </c>
      <c r="BN6" s="2">
        <f t="shared" si="2"/>
        <v>19</v>
      </c>
      <c r="BO6" s="13">
        <f t="shared" si="3"/>
        <v>2</v>
      </c>
      <c r="BP6" s="14">
        <f t="shared" si="4"/>
        <v>48</v>
      </c>
      <c r="BQ6" s="2"/>
      <c r="BR6" s="2"/>
      <c r="BS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5"/>
    </row>
    <row r="7" spans="1:87" ht="12" customHeight="1" x14ac:dyDescent="0.35">
      <c r="A7" s="9">
        <f t="shared" si="5"/>
        <v>5</v>
      </c>
      <c r="B7" s="9">
        <v>34</v>
      </c>
      <c r="C7" s="15"/>
      <c r="D7" s="9"/>
      <c r="E7" s="9"/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>
        <v>3</v>
      </c>
      <c r="R7" s="9"/>
      <c r="S7" s="9">
        <v>1</v>
      </c>
      <c r="T7" s="9">
        <v>2</v>
      </c>
      <c r="U7" s="9">
        <v>1</v>
      </c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16"/>
      <c r="BK7" s="1">
        <v>0</v>
      </c>
      <c r="BL7" s="1">
        <v>3</v>
      </c>
      <c r="BM7" s="9">
        <f t="shared" si="1"/>
        <v>3</v>
      </c>
      <c r="BN7" s="2">
        <f t="shared" si="2"/>
        <v>29</v>
      </c>
      <c r="BO7" s="13">
        <f t="shared" si="3"/>
        <v>26</v>
      </c>
      <c r="BP7" s="14">
        <f t="shared" si="4"/>
        <v>884</v>
      </c>
      <c r="BQ7" s="2"/>
      <c r="BR7" s="2"/>
      <c r="BS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5"/>
    </row>
    <row r="8" spans="1:87" ht="12" customHeight="1" x14ac:dyDescent="0.35">
      <c r="A8" s="9">
        <f t="shared" si="5"/>
        <v>6</v>
      </c>
      <c r="B8" s="9">
        <v>39</v>
      </c>
      <c r="C8" s="15"/>
      <c r="D8" s="9">
        <v>2</v>
      </c>
      <c r="E8" s="9">
        <v>3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>
        <v>1</v>
      </c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16"/>
      <c r="BK8" s="1">
        <v>0</v>
      </c>
      <c r="BL8" s="1">
        <v>4</v>
      </c>
      <c r="BM8" s="9">
        <f t="shared" si="1"/>
        <v>4</v>
      </c>
      <c r="BN8" s="2">
        <f t="shared" si="2"/>
        <v>5</v>
      </c>
      <c r="BO8" s="13">
        <f t="shared" si="3"/>
        <v>1</v>
      </c>
      <c r="BP8" s="14">
        <f t="shared" si="4"/>
        <v>39</v>
      </c>
      <c r="BQ8" s="2"/>
      <c r="BR8" s="2"/>
      <c r="BS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5"/>
    </row>
    <row r="9" spans="1:87" ht="12" customHeight="1" x14ac:dyDescent="0.35">
      <c r="A9" s="9">
        <f t="shared" si="5"/>
        <v>7</v>
      </c>
      <c r="B9" s="9">
        <v>30</v>
      </c>
      <c r="C9" s="15"/>
      <c r="D9" s="9"/>
      <c r="E9" s="9"/>
      <c r="F9" s="9"/>
      <c r="G9" s="9">
        <v>3</v>
      </c>
      <c r="H9" s="9"/>
      <c r="I9" s="9"/>
      <c r="J9" s="9"/>
      <c r="K9" s="9"/>
      <c r="L9" s="9"/>
      <c r="M9" s="9"/>
      <c r="N9" s="9"/>
      <c r="O9" s="9">
        <v>2</v>
      </c>
      <c r="P9" s="9"/>
      <c r="Q9" s="9"/>
      <c r="R9" s="9"/>
      <c r="S9" s="9">
        <v>1</v>
      </c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16"/>
      <c r="BK9" s="1">
        <v>0</v>
      </c>
      <c r="BL9" s="1">
        <v>13</v>
      </c>
      <c r="BM9" s="9">
        <f t="shared" si="1"/>
        <v>13</v>
      </c>
      <c r="BN9" s="2">
        <f t="shared" si="2"/>
        <v>26</v>
      </c>
      <c r="BO9" s="13">
        <f t="shared" si="3"/>
        <v>13</v>
      </c>
      <c r="BP9" s="14">
        <f t="shared" si="4"/>
        <v>390</v>
      </c>
      <c r="BQ9" s="2"/>
      <c r="BR9" s="2"/>
      <c r="BS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5"/>
    </row>
    <row r="10" spans="1:87" ht="12" customHeight="1" x14ac:dyDescent="0.35">
      <c r="A10" s="9">
        <f t="shared" si="5"/>
        <v>8</v>
      </c>
      <c r="B10" s="9">
        <v>45</v>
      </c>
      <c r="C10" s="15">
        <v>4</v>
      </c>
      <c r="D10" s="9"/>
      <c r="E10" s="9"/>
      <c r="F10" s="9"/>
      <c r="G10" s="9"/>
      <c r="H10" s="9">
        <v>1</v>
      </c>
      <c r="I10" s="9"/>
      <c r="J10" s="9"/>
      <c r="K10" s="9"/>
      <c r="L10" s="9"/>
      <c r="M10" s="9"/>
      <c r="N10" s="9">
        <v>1</v>
      </c>
      <c r="O10" s="9"/>
      <c r="P10" s="9"/>
      <c r="Q10" s="9"/>
      <c r="R10" s="9"/>
      <c r="S10" s="9"/>
      <c r="T10" s="9">
        <v>2</v>
      </c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16"/>
      <c r="BK10" s="1">
        <v>0</v>
      </c>
      <c r="BL10" s="1">
        <v>18</v>
      </c>
      <c r="BM10" s="9">
        <f t="shared" si="1"/>
        <v>18</v>
      </c>
      <c r="BN10" s="2">
        <f t="shared" si="2"/>
        <v>19</v>
      </c>
      <c r="BO10" s="13">
        <f t="shared" si="3"/>
        <v>1</v>
      </c>
      <c r="BP10" s="14">
        <f t="shared" si="4"/>
        <v>45</v>
      </c>
      <c r="BQ10" s="2"/>
      <c r="BR10" s="2"/>
      <c r="BS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5"/>
    </row>
    <row r="11" spans="1:87" ht="12" customHeight="1" x14ac:dyDescent="0.35">
      <c r="A11" s="9">
        <f t="shared" si="5"/>
        <v>9</v>
      </c>
      <c r="B11" s="9">
        <v>20</v>
      </c>
      <c r="C11" s="15"/>
      <c r="D11" s="9"/>
      <c r="E11" s="9"/>
      <c r="F11" s="9">
        <v>1</v>
      </c>
      <c r="G11" s="9"/>
      <c r="H11" s="9"/>
      <c r="I11" s="9"/>
      <c r="J11" s="9"/>
      <c r="K11" s="9">
        <v>1</v>
      </c>
      <c r="L11" s="9"/>
      <c r="M11" s="9"/>
      <c r="N11" s="9"/>
      <c r="O11" s="9"/>
      <c r="P11" s="9"/>
      <c r="Q11" s="9"/>
      <c r="R11" s="9">
        <v>1</v>
      </c>
      <c r="S11" s="9">
        <v>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16"/>
      <c r="BK11" s="1">
        <v>0</v>
      </c>
      <c r="BL11" s="1">
        <v>16</v>
      </c>
      <c r="BM11" s="9">
        <f t="shared" si="1"/>
        <v>16</v>
      </c>
      <c r="BN11" s="2">
        <f t="shared" si="2"/>
        <v>16</v>
      </c>
      <c r="BO11" s="13">
        <f t="shared" si="3"/>
        <v>0</v>
      </c>
      <c r="BP11" s="14">
        <f t="shared" si="4"/>
        <v>0</v>
      </c>
      <c r="BQ11" s="2"/>
      <c r="BR11" s="2"/>
      <c r="BS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5"/>
    </row>
    <row r="12" spans="1:87" ht="12" customHeight="1" x14ac:dyDescent="0.35">
      <c r="A12" s="9">
        <f t="shared" si="5"/>
        <v>10</v>
      </c>
      <c r="B12" s="9">
        <v>39</v>
      </c>
      <c r="C12" s="15"/>
      <c r="D12" s="9">
        <v>2</v>
      </c>
      <c r="E12" s="9"/>
      <c r="F12" s="9"/>
      <c r="G12" s="9"/>
      <c r="H12" s="9"/>
      <c r="I12" s="9"/>
      <c r="J12" s="9"/>
      <c r="K12" s="9">
        <v>1</v>
      </c>
      <c r="L12" s="9">
        <v>2</v>
      </c>
      <c r="M12" s="9"/>
      <c r="N12" s="9"/>
      <c r="O12" s="9"/>
      <c r="P12" s="9"/>
      <c r="Q12" s="9">
        <v>1</v>
      </c>
      <c r="R12" s="9">
        <v>1</v>
      </c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16"/>
      <c r="BK12" s="1">
        <v>0</v>
      </c>
      <c r="BL12" s="1">
        <v>11</v>
      </c>
      <c r="BM12" s="9">
        <f t="shared" si="1"/>
        <v>11</v>
      </c>
      <c r="BN12" s="2">
        <f t="shared" si="2"/>
        <v>12</v>
      </c>
      <c r="BO12" s="13">
        <f t="shared" si="3"/>
        <v>1</v>
      </c>
      <c r="BP12" s="14">
        <f t="shared" si="4"/>
        <v>39</v>
      </c>
      <c r="BQ12" s="2"/>
      <c r="BR12" s="2"/>
      <c r="BS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5"/>
    </row>
    <row r="13" spans="1:87" ht="12" customHeight="1" x14ac:dyDescent="0.35">
      <c r="A13" s="9">
        <f t="shared" si="5"/>
        <v>11</v>
      </c>
      <c r="B13" s="9">
        <v>39</v>
      </c>
      <c r="C13" s="15"/>
      <c r="D13" s="9"/>
      <c r="E13" s="9"/>
      <c r="F13" s="9"/>
      <c r="G13" s="9"/>
      <c r="H13" s="9"/>
      <c r="I13" s="9"/>
      <c r="J13" s="9">
        <v>4</v>
      </c>
      <c r="K13" s="9"/>
      <c r="L13" s="9">
        <v>1</v>
      </c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16"/>
      <c r="BK13" s="1">
        <v>0</v>
      </c>
      <c r="BL13" s="1">
        <v>14</v>
      </c>
      <c r="BM13" s="9">
        <f t="shared" si="1"/>
        <v>14</v>
      </c>
      <c r="BN13" s="2">
        <f t="shared" si="2"/>
        <v>15</v>
      </c>
      <c r="BO13" s="13">
        <f t="shared" si="3"/>
        <v>1</v>
      </c>
      <c r="BP13" s="14">
        <f t="shared" si="4"/>
        <v>39</v>
      </c>
      <c r="BQ13" s="2"/>
      <c r="BR13" s="2"/>
      <c r="BS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5"/>
    </row>
    <row r="14" spans="1:87" ht="12" customHeight="1" x14ac:dyDescent="0.35">
      <c r="A14" s="9">
        <f t="shared" si="5"/>
        <v>12</v>
      </c>
      <c r="B14" s="9">
        <v>11</v>
      </c>
      <c r="C14" s="15"/>
      <c r="D14" s="9"/>
      <c r="E14" s="9"/>
      <c r="F14" s="9"/>
      <c r="G14" s="9">
        <v>1</v>
      </c>
      <c r="H14" s="9"/>
      <c r="I14" s="9"/>
      <c r="J14" s="9"/>
      <c r="K14" s="9"/>
      <c r="L14" s="9"/>
      <c r="M14" s="9"/>
      <c r="N14" s="9">
        <v>1</v>
      </c>
      <c r="O14" s="9"/>
      <c r="P14" s="9"/>
      <c r="Q14" s="9"/>
      <c r="R14" s="9"/>
      <c r="S14" s="9"/>
      <c r="T14" s="9">
        <v>1</v>
      </c>
      <c r="U14" s="9">
        <v>1</v>
      </c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16"/>
      <c r="BK14" s="1">
        <v>0</v>
      </c>
      <c r="BL14" s="1">
        <v>13</v>
      </c>
      <c r="BM14" s="9">
        <f t="shared" si="1"/>
        <v>13</v>
      </c>
      <c r="BN14" s="2">
        <f t="shared" si="2"/>
        <v>16</v>
      </c>
      <c r="BO14" s="13">
        <f t="shared" si="3"/>
        <v>3</v>
      </c>
      <c r="BP14" s="14">
        <f t="shared" si="4"/>
        <v>33</v>
      </c>
      <c r="BQ14" s="2"/>
      <c r="BR14" s="2"/>
      <c r="BS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5"/>
    </row>
    <row r="15" spans="1:87" ht="12" customHeight="1" x14ac:dyDescent="0.35">
      <c r="A15" s="9">
        <f t="shared" si="5"/>
        <v>13</v>
      </c>
      <c r="B15" s="9">
        <v>45</v>
      </c>
      <c r="C15" s="15"/>
      <c r="D15" s="9"/>
      <c r="E15" s="9"/>
      <c r="F15" s="9">
        <v>1</v>
      </c>
      <c r="G15" s="9"/>
      <c r="H15" s="9"/>
      <c r="I15" s="9"/>
      <c r="J15" s="9"/>
      <c r="K15" s="9"/>
      <c r="L15" s="9"/>
      <c r="M15" s="9">
        <v>3</v>
      </c>
      <c r="N15" s="9"/>
      <c r="O15" s="9"/>
      <c r="P15" s="9">
        <v>1</v>
      </c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16"/>
      <c r="BK15" s="1">
        <v>0</v>
      </c>
      <c r="BL15" s="1">
        <v>7</v>
      </c>
      <c r="BM15" s="9">
        <f t="shared" si="1"/>
        <v>7</v>
      </c>
      <c r="BN15" s="2">
        <f t="shared" si="2"/>
        <v>12</v>
      </c>
      <c r="BO15" s="13">
        <f t="shared" si="3"/>
        <v>5</v>
      </c>
      <c r="BP15" s="14">
        <f t="shared" si="4"/>
        <v>225</v>
      </c>
      <c r="BQ15" s="2"/>
      <c r="BR15" s="2"/>
      <c r="BS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5"/>
    </row>
    <row r="16" spans="1:87" ht="12" customHeight="1" x14ac:dyDescent="0.35">
      <c r="A16" s="9">
        <f t="shared" si="5"/>
        <v>14</v>
      </c>
      <c r="B16" s="9">
        <v>41</v>
      </c>
      <c r="C16" s="15"/>
      <c r="D16" s="9"/>
      <c r="E16" s="9">
        <v>1</v>
      </c>
      <c r="F16" s="9"/>
      <c r="G16" s="9"/>
      <c r="H16" s="9">
        <v>1</v>
      </c>
      <c r="I16" s="9"/>
      <c r="J16" s="9"/>
      <c r="K16" s="9">
        <v>2</v>
      </c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16"/>
      <c r="BK16" s="1">
        <v>0</v>
      </c>
      <c r="BL16" s="1">
        <v>6</v>
      </c>
      <c r="BM16" s="9">
        <f t="shared" si="1"/>
        <v>6</v>
      </c>
      <c r="BN16" s="2">
        <f t="shared" si="2"/>
        <v>6</v>
      </c>
      <c r="BO16" s="13">
        <f t="shared" si="3"/>
        <v>0</v>
      </c>
      <c r="BP16" s="14">
        <f t="shared" si="4"/>
        <v>0</v>
      </c>
      <c r="BQ16" s="2"/>
      <c r="BR16" s="2"/>
      <c r="BS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5"/>
    </row>
    <row r="17" spans="1:87" ht="12" customHeight="1" x14ac:dyDescent="0.35">
      <c r="A17" s="9">
        <f t="shared" si="5"/>
        <v>15</v>
      </c>
      <c r="B17" s="9">
        <v>64</v>
      </c>
      <c r="C17" s="15"/>
      <c r="D17" s="9"/>
      <c r="E17" s="9"/>
      <c r="F17" s="9"/>
      <c r="G17" s="9"/>
      <c r="H17" s="9">
        <v>1</v>
      </c>
      <c r="I17" s="9">
        <v>2</v>
      </c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16"/>
      <c r="BK17" s="1">
        <v>0</v>
      </c>
      <c r="BL17" s="1">
        <v>9</v>
      </c>
      <c r="BM17" s="9">
        <f t="shared" si="1"/>
        <v>9</v>
      </c>
      <c r="BN17" s="2">
        <f t="shared" si="2"/>
        <v>9</v>
      </c>
      <c r="BO17" s="13">
        <f t="shared" si="3"/>
        <v>0</v>
      </c>
      <c r="BP17" s="14">
        <f t="shared" si="4"/>
        <v>0</v>
      </c>
      <c r="BQ17" s="2"/>
      <c r="BR17" s="2"/>
      <c r="BS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5"/>
    </row>
    <row r="18" spans="1:87" ht="12" customHeight="1" x14ac:dyDescent="0.35">
      <c r="A18" s="9">
        <f t="shared" si="5"/>
        <v>16</v>
      </c>
      <c r="B18" s="9">
        <v>53</v>
      </c>
      <c r="C18" s="15"/>
      <c r="D18" s="9"/>
      <c r="E18" s="9"/>
      <c r="F18" s="9"/>
      <c r="G18" s="9"/>
      <c r="H18" s="9"/>
      <c r="I18" s="9"/>
      <c r="J18" s="9"/>
      <c r="K18" s="9"/>
      <c r="L18" s="9"/>
      <c r="M18" s="9"/>
      <c r="N18" s="9">
        <v>2</v>
      </c>
      <c r="O18" s="9"/>
      <c r="P18" s="9"/>
      <c r="Q18" s="9"/>
      <c r="R18" s="9"/>
      <c r="S18" s="9"/>
      <c r="T18" s="9"/>
      <c r="U18" s="9">
        <v>2</v>
      </c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16"/>
      <c r="BK18" s="1">
        <v>0</v>
      </c>
      <c r="BL18" s="1">
        <v>9</v>
      </c>
      <c r="BM18" s="9">
        <f t="shared" si="1"/>
        <v>9</v>
      </c>
      <c r="BN18" s="2">
        <f t="shared" si="2"/>
        <v>10</v>
      </c>
      <c r="BO18" s="13">
        <f t="shared" si="3"/>
        <v>1</v>
      </c>
      <c r="BP18" s="14">
        <f t="shared" si="4"/>
        <v>53</v>
      </c>
      <c r="BQ18" s="2"/>
      <c r="BR18" s="2"/>
      <c r="BS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5"/>
    </row>
    <row r="19" spans="1:87" ht="12" customHeight="1" x14ac:dyDescent="0.35">
      <c r="A19" s="9">
        <f t="shared" si="5"/>
        <v>17</v>
      </c>
      <c r="B19" s="9">
        <v>68</v>
      </c>
      <c r="C19" s="15"/>
      <c r="D19" s="9"/>
      <c r="E19" s="9"/>
      <c r="F19" s="9"/>
      <c r="G19" s="9"/>
      <c r="H19" s="9"/>
      <c r="I19" s="9"/>
      <c r="J19" s="9"/>
      <c r="K19" s="9"/>
      <c r="L19" s="9">
        <v>1</v>
      </c>
      <c r="M19" s="9"/>
      <c r="N19" s="9"/>
      <c r="O19" s="9"/>
      <c r="P19" s="9">
        <v>2</v>
      </c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16"/>
      <c r="BK19" s="1">
        <v>0</v>
      </c>
      <c r="BL19" s="1">
        <v>14</v>
      </c>
      <c r="BM19" s="9">
        <f t="shared" si="1"/>
        <v>14</v>
      </c>
      <c r="BN19" s="2">
        <f t="shared" si="2"/>
        <v>15</v>
      </c>
      <c r="BO19" s="13">
        <f t="shared" si="3"/>
        <v>1</v>
      </c>
      <c r="BP19" s="14">
        <f t="shared" si="4"/>
        <v>68</v>
      </c>
      <c r="BQ19" s="2"/>
      <c r="BR19" s="2"/>
      <c r="BS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5"/>
    </row>
    <row r="20" spans="1:87" ht="12" customHeight="1" x14ac:dyDescent="0.35">
      <c r="A20" s="9">
        <f t="shared" si="5"/>
        <v>18</v>
      </c>
      <c r="B20" s="9">
        <v>58</v>
      </c>
      <c r="C20" s="15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>
        <v>2</v>
      </c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16"/>
      <c r="BK20" s="1">
        <v>0</v>
      </c>
      <c r="BL20" s="1">
        <v>5</v>
      </c>
      <c r="BM20" s="9">
        <f t="shared" si="1"/>
        <v>5</v>
      </c>
      <c r="BN20" s="2">
        <f t="shared" si="2"/>
        <v>6</v>
      </c>
      <c r="BO20" s="13">
        <f t="shared" si="3"/>
        <v>1</v>
      </c>
      <c r="BP20" s="14">
        <f t="shared" si="4"/>
        <v>58</v>
      </c>
      <c r="BQ20" s="2"/>
      <c r="BR20" s="2"/>
      <c r="BS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5"/>
    </row>
    <row r="21" spans="1:87" ht="12" customHeight="1" x14ac:dyDescent="0.35">
      <c r="A21" s="9">
        <f t="shared" si="5"/>
        <v>19</v>
      </c>
      <c r="B21" s="9">
        <v>70</v>
      </c>
      <c r="C21" s="15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>
        <v>1</v>
      </c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16"/>
      <c r="BK21" s="1">
        <v>0</v>
      </c>
      <c r="BL21" s="17">
        <v>9</v>
      </c>
      <c r="BM21" s="9">
        <f t="shared" si="1"/>
        <v>9</v>
      </c>
      <c r="BN21" s="2">
        <f t="shared" si="2"/>
        <v>9</v>
      </c>
      <c r="BO21" s="13">
        <f t="shared" si="3"/>
        <v>0</v>
      </c>
      <c r="BP21" s="14">
        <f t="shared" si="4"/>
        <v>0</v>
      </c>
      <c r="BQ21" s="2"/>
      <c r="BR21" s="2"/>
      <c r="BS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5"/>
    </row>
    <row r="22" spans="1:87" ht="12" customHeight="1" x14ac:dyDescent="0.35">
      <c r="A22" s="9">
        <f t="shared" si="5"/>
        <v>20</v>
      </c>
      <c r="B22" s="9">
        <v>43</v>
      </c>
      <c r="C22" s="15"/>
      <c r="D22" s="9"/>
      <c r="E22" s="9"/>
      <c r="F22" s="9">
        <v>1</v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16"/>
      <c r="BK22" s="1">
        <v>0</v>
      </c>
      <c r="BL22" s="17">
        <v>6</v>
      </c>
      <c r="BM22" s="9">
        <f t="shared" si="1"/>
        <v>6</v>
      </c>
      <c r="BN22" s="2">
        <f t="shared" si="2"/>
        <v>6</v>
      </c>
      <c r="BO22" s="13">
        <f t="shared" si="3"/>
        <v>0</v>
      </c>
      <c r="BP22" s="14">
        <f t="shared" si="4"/>
        <v>0</v>
      </c>
      <c r="BQ22" s="2"/>
      <c r="BR22" s="2"/>
      <c r="BS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5"/>
    </row>
    <row r="23" spans="1:87" ht="12" customHeight="1" x14ac:dyDescent="0.35">
      <c r="A23" s="9">
        <f t="shared" si="5"/>
        <v>21</v>
      </c>
      <c r="B23" s="1">
        <v>20</v>
      </c>
      <c r="C23" s="15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>
        <v>1</v>
      </c>
      <c r="X23" s="9">
        <v>0</v>
      </c>
      <c r="Y23" s="9"/>
      <c r="Z23" s="9"/>
      <c r="AA23" s="9"/>
      <c r="AB23" s="9">
        <v>0</v>
      </c>
      <c r="AC23" s="9"/>
      <c r="AD23" s="9"/>
      <c r="AE23" s="9"/>
      <c r="AF23" s="9">
        <v>1</v>
      </c>
      <c r="AG23" s="9">
        <v>0</v>
      </c>
      <c r="AH23" s="9"/>
      <c r="AI23" s="9"/>
      <c r="AJ23" s="9">
        <v>1</v>
      </c>
      <c r="AK23" s="9"/>
      <c r="AL23" s="9"/>
      <c r="AM23" s="9"/>
      <c r="AN23" s="9">
        <v>0</v>
      </c>
      <c r="AO23" s="9">
        <v>4</v>
      </c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16"/>
      <c r="BK23" s="1">
        <v>0</v>
      </c>
      <c r="BL23" s="18">
        <v>27</v>
      </c>
      <c r="BM23" s="9">
        <f t="shared" si="1"/>
        <v>27</v>
      </c>
      <c r="BN23" s="2">
        <f t="shared" si="2"/>
        <v>54</v>
      </c>
      <c r="BO23" s="13">
        <f t="shared" si="3"/>
        <v>27</v>
      </c>
      <c r="BP23" s="14">
        <f t="shared" si="4"/>
        <v>540</v>
      </c>
      <c r="BQ23" s="2"/>
      <c r="BR23" s="2"/>
      <c r="BS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5"/>
    </row>
    <row r="24" spans="1:87" ht="12" customHeight="1" x14ac:dyDescent="0.35">
      <c r="A24" s="9">
        <f t="shared" si="5"/>
        <v>22</v>
      </c>
      <c r="B24" s="1">
        <v>17</v>
      </c>
      <c r="C24" s="15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>
        <v>1</v>
      </c>
      <c r="AB24" s="9"/>
      <c r="AC24" s="9">
        <v>1</v>
      </c>
      <c r="AD24" s="9"/>
      <c r="AE24" s="9"/>
      <c r="AF24" s="9"/>
      <c r="AG24" s="9"/>
      <c r="AH24" s="9"/>
      <c r="AI24" s="9"/>
      <c r="AJ24" s="9"/>
      <c r="AK24" s="9">
        <v>0</v>
      </c>
      <c r="AL24" s="9">
        <v>2</v>
      </c>
      <c r="AM24" s="9">
        <v>0</v>
      </c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16"/>
      <c r="BK24" s="1">
        <v>0</v>
      </c>
      <c r="BL24" s="18">
        <v>33</v>
      </c>
      <c r="BM24" s="9">
        <f t="shared" si="1"/>
        <v>33</v>
      </c>
      <c r="BN24" s="2">
        <f t="shared" si="2"/>
        <v>33</v>
      </c>
      <c r="BO24" s="13">
        <f t="shared" si="3"/>
        <v>0</v>
      </c>
      <c r="BP24" s="14">
        <f t="shared" si="4"/>
        <v>0</v>
      </c>
      <c r="BQ24" s="2"/>
      <c r="BR24" s="2"/>
      <c r="BS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5"/>
    </row>
    <row r="25" spans="1:87" ht="12" customHeight="1" x14ac:dyDescent="0.35">
      <c r="A25" s="9">
        <f t="shared" si="5"/>
        <v>23</v>
      </c>
      <c r="B25" s="1">
        <v>16</v>
      </c>
      <c r="C25" s="15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>
        <v>1</v>
      </c>
      <c r="Y25" s="9"/>
      <c r="Z25" s="9">
        <v>1</v>
      </c>
      <c r="AA25" s="9">
        <v>0</v>
      </c>
      <c r="AB25" s="9"/>
      <c r="AC25" s="9"/>
      <c r="AD25" s="9"/>
      <c r="AE25" s="9"/>
      <c r="AF25" s="9">
        <v>2</v>
      </c>
      <c r="AG25" s="9"/>
      <c r="AH25" s="9">
        <v>0</v>
      </c>
      <c r="AI25" s="9">
        <v>0</v>
      </c>
      <c r="AJ25" s="9"/>
      <c r="AK25" s="9"/>
      <c r="AL25" s="9"/>
      <c r="AM25" s="9">
        <v>0</v>
      </c>
      <c r="AN25" s="9">
        <v>0</v>
      </c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16"/>
      <c r="BK25" s="1">
        <v>0</v>
      </c>
      <c r="BL25" s="18">
        <v>46</v>
      </c>
      <c r="BM25" s="9">
        <f t="shared" si="1"/>
        <v>46</v>
      </c>
      <c r="BN25" s="2">
        <f t="shared" si="2"/>
        <v>46</v>
      </c>
      <c r="BO25" s="13">
        <f t="shared" si="3"/>
        <v>0</v>
      </c>
      <c r="BP25" s="14">
        <f t="shared" si="4"/>
        <v>0</v>
      </c>
      <c r="BQ25" s="2"/>
      <c r="BR25" s="2"/>
      <c r="BS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5"/>
    </row>
    <row r="26" spans="1:87" ht="12" customHeight="1" x14ac:dyDescent="0.35">
      <c r="A26" s="9">
        <f t="shared" si="5"/>
        <v>24</v>
      </c>
      <c r="B26" s="1">
        <v>15</v>
      </c>
      <c r="C26" s="15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>
        <v>1</v>
      </c>
      <c r="X26" s="9"/>
      <c r="Y26" s="9"/>
      <c r="Z26" s="9"/>
      <c r="AA26" s="9"/>
      <c r="AB26" s="9"/>
      <c r="AC26" s="9"/>
      <c r="AD26" s="9"/>
      <c r="AE26" s="9">
        <v>0</v>
      </c>
      <c r="AF26" s="9">
        <v>1</v>
      </c>
      <c r="AG26" s="9"/>
      <c r="AH26" s="9">
        <v>2</v>
      </c>
      <c r="AI26" s="9">
        <v>1</v>
      </c>
      <c r="AJ26" s="9"/>
      <c r="AK26" s="9"/>
      <c r="AL26" s="9">
        <v>1</v>
      </c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16"/>
      <c r="BK26" s="1">
        <v>0</v>
      </c>
      <c r="BL26" s="18">
        <v>18</v>
      </c>
      <c r="BM26" s="9">
        <f t="shared" si="1"/>
        <v>18</v>
      </c>
      <c r="BN26" s="2">
        <f t="shared" si="2"/>
        <v>34</v>
      </c>
      <c r="BO26" s="13">
        <f t="shared" si="3"/>
        <v>16</v>
      </c>
      <c r="BP26" s="14">
        <f t="shared" si="4"/>
        <v>240</v>
      </c>
      <c r="BQ26" s="2"/>
      <c r="BR26" s="2"/>
      <c r="BS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5"/>
    </row>
    <row r="27" spans="1:87" ht="12" customHeight="1" x14ac:dyDescent="0.35">
      <c r="A27" s="9">
        <f t="shared" si="5"/>
        <v>25</v>
      </c>
      <c r="B27" s="1">
        <v>15</v>
      </c>
      <c r="C27" s="15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>
        <v>0</v>
      </c>
      <c r="X27" s="9">
        <v>2</v>
      </c>
      <c r="Y27" s="9"/>
      <c r="Z27" s="9"/>
      <c r="AA27" s="9"/>
      <c r="AB27" s="9">
        <v>1</v>
      </c>
      <c r="AC27" s="9">
        <v>2</v>
      </c>
      <c r="AD27" s="9"/>
      <c r="AE27" s="9">
        <v>0</v>
      </c>
      <c r="AF27" s="9"/>
      <c r="AG27" s="9"/>
      <c r="AH27" s="9"/>
      <c r="AI27" s="9">
        <v>1</v>
      </c>
      <c r="AJ27" s="9"/>
      <c r="AK27" s="9"/>
      <c r="AL27" s="9">
        <v>0</v>
      </c>
      <c r="AM27" s="9">
        <v>0</v>
      </c>
      <c r="AN27" s="9"/>
      <c r="AO27" s="9">
        <v>1</v>
      </c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16"/>
      <c r="BK27" s="1">
        <v>0</v>
      </c>
      <c r="BL27" s="18">
        <v>47</v>
      </c>
      <c r="BM27" s="9">
        <f t="shared" si="1"/>
        <v>47</v>
      </c>
      <c r="BN27" s="2">
        <f t="shared" si="2"/>
        <v>47</v>
      </c>
      <c r="BO27" s="13">
        <f t="shared" si="3"/>
        <v>0</v>
      </c>
      <c r="BP27" s="14">
        <f t="shared" si="4"/>
        <v>0</v>
      </c>
      <c r="BQ27" s="2"/>
      <c r="BR27" s="2"/>
      <c r="BS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5"/>
    </row>
    <row r="28" spans="1:87" ht="12" customHeight="1" x14ac:dyDescent="0.35">
      <c r="A28" s="9">
        <f t="shared" si="5"/>
        <v>26</v>
      </c>
      <c r="B28" s="1">
        <v>20</v>
      </c>
      <c r="C28" s="15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>
        <v>0</v>
      </c>
      <c r="X28" s="9"/>
      <c r="Y28" s="9">
        <v>3</v>
      </c>
      <c r="Z28" s="9">
        <v>4</v>
      </c>
      <c r="AA28" s="9">
        <v>1</v>
      </c>
      <c r="AB28" s="9">
        <v>1</v>
      </c>
      <c r="AC28" s="9">
        <v>0</v>
      </c>
      <c r="AD28" s="9">
        <v>0</v>
      </c>
      <c r="AE28" s="9">
        <v>1</v>
      </c>
      <c r="AF28" s="9">
        <v>0</v>
      </c>
      <c r="AG28" s="9">
        <v>5</v>
      </c>
      <c r="AH28" s="9"/>
      <c r="AI28" s="9">
        <v>2</v>
      </c>
      <c r="AJ28" s="9">
        <v>1</v>
      </c>
      <c r="AK28" s="9">
        <v>5</v>
      </c>
      <c r="AL28" s="9"/>
      <c r="AM28" s="9"/>
      <c r="AN28" s="9">
        <v>0</v>
      </c>
      <c r="AO28" s="9">
        <v>0</v>
      </c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16"/>
      <c r="BK28" s="1">
        <v>0</v>
      </c>
      <c r="BL28" s="18">
        <v>34</v>
      </c>
      <c r="BM28" s="9">
        <f t="shared" si="1"/>
        <v>34</v>
      </c>
      <c r="BN28" s="2">
        <f t="shared" si="2"/>
        <v>57</v>
      </c>
      <c r="BO28" s="13">
        <f t="shared" si="3"/>
        <v>23</v>
      </c>
      <c r="BP28" s="14">
        <f t="shared" si="4"/>
        <v>460</v>
      </c>
      <c r="BQ28" s="2"/>
      <c r="BR28" s="2"/>
      <c r="BS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5"/>
    </row>
    <row r="29" spans="1:87" ht="12" customHeight="1" x14ac:dyDescent="0.35">
      <c r="A29" s="9">
        <f t="shared" si="5"/>
        <v>27</v>
      </c>
      <c r="B29" s="1">
        <v>28</v>
      </c>
      <c r="C29" s="15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>
        <v>0</v>
      </c>
      <c r="Y29" s="9"/>
      <c r="Z29" s="9">
        <v>0</v>
      </c>
      <c r="AA29" s="9">
        <v>1</v>
      </c>
      <c r="AB29" s="9"/>
      <c r="AC29" s="9"/>
      <c r="AD29" s="9">
        <v>0</v>
      </c>
      <c r="AE29" s="9">
        <v>0</v>
      </c>
      <c r="AF29" s="9"/>
      <c r="AG29" s="9">
        <v>0</v>
      </c>
      <c r="AH29" s="9"/>
      <c r="AI29" s="9">
        <v>0</v>
      </c>
      <c r="AJ29" s="9"/>
      <c r="AK29" s="9">
        <v>0</v>
      </c>
      <c r="AL29" s="9"/>
      <c r="AM29" s="9">
        <v>0</v>
      </c>
      <c r="AN29" s="9">
        <v>1</v>
      </c>
      <c r="AO29" s="9">
        <v>0</v>
      </c>
      <c r="AP29" s="9">
        <v>1</v>
      </c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16"/>
      <c r="BK29" s="1">
        <v>0</v>
      </c>
      <c r="BL29" s="18">
        <v>42</v>
      </c>
      <c r="BM29" s="9">
        <f t="shared" si="1"/>
        <v>42</v>
      </c>
      <c r="BN29" s="2">
        <f t="shared" si="2"/>
        <v>42</v>
      </c>
      <c r="BO29" s="13">
        <f t="shared" si="3"/>
        <v>0</v>
      </c>
      <c r="BP29" s="14">
        <f t="shared" si="4"/>
        <v>0</v>
      </c>
      <c r="BQ29" s="2"/>
      <c r="BR29" s="2"/>
      <c r="BS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5"/>
    </row>
    <row r="30" spans="1:87" ht="12" customHeight="1" x14ac:dyDescent="0.35">
      <c r="A30" s="9">
        <f t="shared" si="5"/>
        <v>28</v>
      </c>
      <c r="B30" s="1">
        <v>23</v>
      </c>
      <c r="C30" s="15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>
        <v>0</v>
      </c>
      <c r="Z30" s="9">
        <v>0</v>
      </c>
      <c r="AA30" s="9"/>
      <c r="AB30" s="9">
        <v>1</v>
      </c>
      <c r="AC30" s="9">
        <v>2</v>
      </c>
      <c r="AD30" s="9">
        <v>3</v>
      </c>
      <c r="AE30" s="9">
        <v>0</v>
      </c>
      <c r="AF30" s="9"/>
      <c r="AG30" s="9"/>
      <c r="AH30" s="9"/>
      <c r="AI30" s="9"/>
      <c r="AJ30" s="9">
        <v>2</v>
      </c>
      <c r="AK30" s="9">
        <v>0</v>
      </c>
      <c r="AL30" s="9">
        <v>2</v>
      </c>
      <c r="AM30" s="9">
        <v>3</v>
      </c>
      <c r="AN30" s="9">
        <v>0</v>
      </c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16"/>
      <c r="BK30" s="1">
        <v>0</v>
      </c>
      <c r="BL30" s="18">
        <v>66</v>
      </c>
      <c r="BM30" s="9">
        <f t="shared" si="1"/>
        <v>66</v>
      </c>
      <c r="BN30" s="2">
        <f t="shared" si="2"/>
        <v>77</v>
      </c>
      <c r="BO30" s="13">
        <f t="shared" si="3"/>
        <v>11</v>
      </c>
      <c r="BP30" s="14">
        <f t="shared" si="4"/>
        <v>253</v>
      </c>
      <c r="BQ30" s="2"/>
      <c r="BR30" s="2"/>
      <c r="BS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5"/>
    </row>
    <row r="31" spans="1:87" ht="12" customHeight="1" x14ac:dyDescent="0.35">
      <c r="A31" s="9">
        <f t="shared" si="5"/>
        <v>29</v>
      </c>
      <c r="B31" s="1">
        <v>29</v>
      </c>
      <c r="C31" s="15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>
        <v>2</v>
      </c>
      <c r="X31" s="9">
        <v>0</v>
      </c>
      <c r="Y31" s="9">
        <v>0</v>
      </c>
      <c r="Z31" s="9">
        <v>0</v>
      </c>
      <c r="AA31" s="9"/>
      <c r="AB31" s="9">
        <v>1</v>
      </c>
      <c r="AC31" s="9">
        <v>0</v>
      </c>
      <c r="AD31" s="9"/>
      <c r="AE31" s="9"/>
      <c r="AF31" s="9">
        <v>1</v>
      </c>
      <c r="AG31" s="9">
        <v>0</v>
      </c>
      <c r="AH31" s="9">
        <v>1</v>
      </c>
      <c r="AI31" s="9"/>
      <c r="AJ31" s="9"/>
      <c r="AK31" s="9">
        <v>0</v>
      </c>
      <c r="AL31" s="9">
        <v>0</v>
      </c>
      <c r="AM31" s="9">
        <v>1</v>
      </c>
      <c r="AN31" s="9">
        <v>2</v>
      </c>
      <c r="AO31" s="9">
        <v>0</v>
      </c>
      <c r="AP31" s="9">
        <v>2</v>
      </c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16"/>
      <c r="BK31" s="1">
        <v>0</v>
      </c>
      <c r="BL31" s="18">
        <v>8</v>
      </c>
      <c r="BM31" s="9">
        <f t="shared" si="1"/>
        <v>8</v>
      </c>
      <c r="BN31" s="2">
        <f t="shared" si="2"/>
        <v>85</v>
      </c>
      <c r="BO31" s="13">
        <f t="shared" si="3"/>
        <v>77</v>
      </c>
      <c r="BP31" s="14">
        <f t="shared" si="4"/>
        <v>2233</v>
      </c>
      <c r="BQ31" s="2"/>
      <c r="BR31" s="2"/>
      <c r="BS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5"/>
    </row>
    <row r="32" spans="1:87" ht="12" customHeight="1" x14ac:dyDescent="0.35">
      <c r="A32" s="9">
        <f t="shared" si="5"/>
        <v>30</v>
      </c>
      <c r="B32" s="1">
        <v>26</v>
      </c>
      <c r="C32" s="15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>
        <v>0</v>
      </c>
      <c r="X32" s="9">
        <v>2</v>
      </c>
      <c r="Y32" s="9">
        <v>1</v>
      </c>
      <c r="Z32" s="9"/>
      <c r="AA32" s="9">
        <v>1</v>
      </c>
      <c r="AB32" s="9"/>
      <c r="AC32" s="9">
        <v>0</v>
      </c>
      <c r="AD32" s="9">
        <v>1</v>
      </c>
      <c r="AE32" s="9">
        <v>3</v>
      </c>
      <c r="AF32" s="9">
        <v>0</v>
      </c>
      <c r="AG32" s="9">
        <v>0</v>
      </c>
      <c r="AH32" s="9">
        <v>1</v>
      </c>
      <c r="AI32" s="9">
        <v>1</v>
      </c>
      <c r="AJ32" s="9">
        <v>0</v>
      </c>
      <c r="AK32" s="9">
        <v>0</v>
      </c>
      <c r="AL32" s="9">
        <v>0</v>
      </c>
      <c r="AM32" s="9">
        <v>0</v>
      </c>
      <c r="AN32" s="9">
        <v>0</v>
      </c>
      <c r="AO32" s="9">
        <v>0</v>
      </c>
      <c r="AP32" s="9">
        <v>0</v>
      </c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16"/>
      <c r="BK32" s="1">
        <v>0</v>
      </c>
      <c r="BL32" s="18">
        <v>60</v>
      </c>
      <c r="BM32" s="9">
        <f t="shared" si="1"/>
        <v>60</v>
      </c>
      <c r="BN32" s="2">
        <f t="shared" si="2"/>
        <v>60</v>
      </c>
      <c r="BO32" s="13">
        <f t="shared" si="3"/>
        <v>0</v>
      </c>
      <c r="BP32" s="14">
        <f t="shared" si="4"/>
        <v>0</v>
      </c>
      <c r="BQ32" s="2"/>
      <c r="BR32" s="2"/>
      <c r="BS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5"/>
    </row>
    <row r="33" spans="1:87" ht="12" customHeight="1" x14ac:dyDescent="0.35">
      <c r="A33" s="9">
        <f t="shared" si="5"/>
        <v>31</v>
      </c>
      <c r="B33" s="1">
        <v>26</v>
      </c>
      <c r="C33" s="15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>
        <v>0</v>
      </c>
      <c r="Z33" s="9">
        <v>1</v>
      </c>
      <c r="AA33" s="9">
        <v>0</v>
      </c>
      <c r="AB33" s="9">
        <v>0</v>
      </c>
      <c r="AC33" s="9">
        <v>0</v>
      </c>
      <c r="AD33" s="9">
        <v>0</v>
      </c>
      <c r="AE33" s="9">
        <v>0</v>
      </c>
      <c r="AF33" s="9">
        <v>2</v>
      </c>
      <c r="AG33" s="9"/>
      <c r="AH33" s="9"/>
      <c r="AI33" s="9">
        <v>0</v>
      </c>
      <c r="AJ33" s="9">
        <v>0</v>
      </c>
      <c r="AK33" s="9">
        <v>0</v>
      </c>
      <c r="AL33" s="9">
        <v>1</v>
      </c>
      <c r="AM33" s="9"/>
      <c r="AN33" s="9">
        <v>3</v>
      </c>
      <c r="AO33" s="9">
        <v>0</v>
      </c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16"/>
      <c r="BK33" s="1">
        <v>0</v>
      </c>
      <c r="BL33" s="18">
        <v>6</v>
      </c>
      <c r="BM33" s="9">
        <f t="shared" si="1"/>
        <v>6</v>
      </c>
      <c r="BN33" s="2">
        <f t="shared" si="2"/>
        <v>88</v>
      </c>
      <c r="BO33" s="13">
        <f t="shared" si="3"/>
        <v>82</v>
      </c>
      <c r="BP33" s="14">
        <f t="shared" si="4"/>
        <v>2132</v>
      </c>
      <c r="BQ33" s="2"/>
      <c r="BR33" s="2"/>
      <c r="BS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5"/>
    </row>
    <row r="34" spans="1:87" ht="12" customHeight="1" x14ac:dyDescent="0.35">
      <c r="A34" s="9">
        <f t="shared" si="5"/>
        <v>32</v>
      </c>
      <c r="B34" s="1">
        <v>25</v>
      </c>
      <c r="C34" s="15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>
        <v>0</v>
      </c>
      <c r="X34" s="9"/>
      <c r="Y34" s="9"/>
      <c r="Z34" s="9"/>
      <c r="AA34" s="9">
        <v>0</v>
      </c>
      <c r="AB34" s="9"/>
      <c r="AC34" s="9">
        <v>0</v>
      </c>
      <c r="AD34" s="9"/>
      <c r="AE34" s="9">
        <v>1</v>
      </c>
      <c r="AF34" s="9">
        <v>0</v>
      </c>
      <c r="AG34" s="9">
        <v>1</v>
      </c>
      <c r="AH34" s="9"/>
      <c r="AI34" s="9"/>
      <c r="AJ34" s="9"/>
      <c r="AK34" s="9"/>
      <c r="AL34" s="9"/>
      <c r="AM34" s="9">
        <v>1</v>
      </c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16"/>
      <c r="BK34" s="1">
        <v>0</v>
      </c>
      <c r="BL34" s="18">
        <v>15</v>
      </c>
      <c r="BM34" s="9">
        <f t="shared" si="1"/>
        <v>15</v>
      </c>
      <c r="BN34" s="2">
        <f t="shared" si="2"/>
        <v>15</v>
      </c>
      <c r="BO34" s="13">
        <f t="shared" si="3"/>
        <v>0</v>
      </c>
      <c r="BP34" s="14">
        <f t="shared" si="4"/>
        <v>0</v>
      </c>
      <c r="BQ34" s="2"/>
      <c r="BR34" s="2"/>
      <c r="BS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5"/>
    </row>
    <row r="35" spans="1:87" ht="12" customHeight="1" x14ac:dyDescent="0.35">
      <c r="A35" s="9">
        <f t="shared" si="5"/>
        <v>33</v>
      </c>
      <c r="B35" s="1">
        <v>26</v>
      </c>
      <c r="C35" s="15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>
        <v>0</v>
      </c>
      <c r="X35" s="9"/>
      <c r="Y35" s="9">
        <v>2</v>
      </c>
      <c r="Z35" s="9">
        <v>0</v>
      </c>
      <c r="AA35" s="9"/>
      <c r="AB35" s="9">
        <v>1</v>
      </c>
      <c r="AC35" s="9">
        <v>1</v>
      </c>
      <c r="AD35" s="9"/>
      <c r="AE35" s="9">
        <v>0</v>
      </c>
      <c r="AF35" s="9">
        <v>0</v>
      </c>
      <c r="AG35" s="9">
        <v>0</v>
      </c>
      <c r="AH35" s="9">
        <v>2</v>
      </c>
      <c r="AI35" s="9">
        <v>0</v>
      </c>
      <c r="AJ35" s="9"/>
      <c r="AK35" s="9">
        <v>2</v>
      </c>
      <c r="AL35" s="9"/>
      <c r="AM35" s="9"/>
      <c r="AN35" s="9"/>
      <c r="AO35" s="9">
        <v>0</v>
      </c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16"/>
      <c r="BK35" s="1">
        <v>0</v>
      </c>
      <c r="BL35" s="18">
        <v>28</v>
      </c>
      <c r="BM35" s="9">
        <f t="shared" ref="BM35:BM62" si="6">BL35-BK35</f>
        <v>28</v>
      </c>
      <c r="BN35" s="2">
        <f t="shared" ref="BN35:BN62" si="7">SUMPRODUCT(C35:BJ35,C$63:BJ$63)</f>
        <v>29</v>
      </c>
      <c r="BO35" s="13">
        <f t="shared" ref="BO35:BO62" si="8">BN35-BM35</f>
        <v>1</v>
      </c>
      <c r="BP35" s="14">
        <f t="shared" ref="BP35:BP62" si="9">BO35*B35</f>
        <v>26</v>
      </c>
      <c r="BQ35" s="2"/>
      <c r="BR35" s="2"/>
      <c r="BS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5"/>
    </row>
    <row r="36" spans="1:87" ht="12" customHeight="1" x14ac:dyDescent="0.35">
      <c r="A36" s="9">
        <f t="shared" ref="A36:A62" si="10">1+A35</f>
        <v>34</v>
      </c>
      <c r="B36" s="1">
        <v>23</v>
      </c>
      <c r="C36" s="15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>
        <v>2</v>
      </c>
      <c r="X36" s="9">
        <v>2</v>
      </c>
      <c r="Y36" s="9">
        <v>1</v>
      </c>
      <c r="Z36" s="9">
        <v>1</v>
      </c>
      <c r="AA36" s="9">
        <v>4</v>
      </c>
      <c r="AB36" s="9">
        <v>3</v>
      </c>
      <c r="AC36" s="9">
        <v>1</v>
      </c>
      <c r="AD36" s="9">
        <v>0</v>
      </c>
      <c r="AE36" s="9">
        <v>2</v>
      </c>
      <c r="AF36" s="9"/>
      <c r="AG36" s="9">
        <v>1</v>
      </c>
      <c r="AH36" s="9">
        <v>0</v>
      </c>
      <c r="AI36" s="9"/>
      <c r="AJ36" s="9"/>
      <c r="AK36" s="9">
        <v>0</v>
      </c>
      <c r="AL36" s="9">
        <v>2</v>
      </c>
      <c r="AM36" s="9">
        <v>0</v>
      </c>
      <c r="AN36" s="9">
        <v>0</v>
      </c>
      <c r="AO36" s="9">
        <v>0</v>
      </c>
      <c r="AP36" s="9">
        <v>1</v>
      </c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16"/>
      <c r="BK36" s="1">
        <v>0</v>
      </c>
      <c r="BL36" s="18">
        <v>0</v>
      </c>
      <c r="BM36" s="9">
        <f t="shared" si="6"/>
        <v>0</v>
      </c>
      <c r="BN36" s="2">
        <f t="shared" si="7"/>
        <v>115</v>
      </c>
      <c r="BO36" s="13">
        <f t="shared" si="8"/>
        <v>115</v>
      </c>
      <c r="BP36" s="14">
        <f t="shared" si="9"/>
        <v>2645</v>
      </c>
      <c r="BQ36" s="2"/>
      <c r="BR36" s="2"/>
      <c r="BS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5"/>
    </row>
    <row r="37" spans="1:87" ht="12" customHeight="1" x14ac:dyDescent="0.35">
      <c r="A37" s="9">
        <f t="shared" si="10"/>
        <v>35</v>
      </c>
      <c r="B37" s="1">
        <v>28</v>
      </c>
      <c r="C37" s="15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>
        <v>0</v>
      </c>
      <c r="Y37" s="9">
        <v>0</v>
      </c>
      <c r="Z37" s="9"/>
      <c r="AA37" s="9">
        <v>0</v>
      </c>
      <c r="AB37" s="9"/>
      <c r="AC37" s="9">
        <v>1</v>
      </c>
      <c r="AD37" s="9">
        <v>0</v>
      </c>
      <c r="AE37" s="9"/>
      <c r="AF37" s="9">
        <v>1</v>
      </c>
      <c r="AG37" s="9">
        <v>1</v>
      </c>
      <c r="AH37" s="9">
        <v>0</v>
      </c>
      <c r="AI37" s="9">
        <v>0</v>
      </c>
      <c r="AJ37" s="9">
        <v>0</v>
      </c>
      <c r="AK37" s="9">
        <v>0</v>
      </c>
      <c r="AL37" s="9"/>
      <c r="AM37" s="9">
        <v>0</v>
      </c>
      <c r="AN37" s="9"/>
      <c r="AO37" s="9"/>
      <c r="AP37" s="9">
        <v>2</v>
      </c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16"/>
      <c r="BK37" s="1">
        <v>0</v>
      </c>
      <c r="BL37" s="18">
        <v>24</v>
      </c>
      <c r="BM37" s="9">
        <f t="shared" si="6"/>
        <v>24</v>
      </c>
      <c r="BN37" s="2">
        <f t="shared" si="7"/>
        <v>70</v>
      </c>
      <c r="BO37" s="13">
        <f t="shared" si="8"/>
        <v>46</v>
      </c>
      <c r="BP37" s="14">
        <f t="shared" si="9"/>
        <v>1288</v>
      </c>
      <c r="BQ37" s="2"/>
      <c r="BR37" s="2"/>
      <c r="BS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5"/>
    </row>
    <row r="38" spans="1:87" ht="12" customHeight="1" x14ac:dyDescent="0.35">
      <c r="A38" s="9">
        <f t="shared" si="10"/>
        <v>36</v>
      </c>
      <c r="B38" s="1">
        <v>13</v>
      </c>
      <c r="C38" s="15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>
        <v>0</v>
      </c>
      <c r="X38" s="9">
        <v>0</v>
      </c>
      <c r="Y38" s="9"/>
      <c r="Z38" s="9">
        <v>3</v>
      </c>
      <c r="AA38" s="9">
        <v>0</v>
      </c>
      <c r="AB38" s="9">
        <v>0</v>
      </c>
      <c r="AC38" s="9"/>
      <c r="AD38" s="9">
        <v>6</v>
      </c>
      <c r="AE38" s="9">
        <v>1</v>
      </c>
      <c r="AF38" s="9">
        <v>0</v>
      </c>
      <c r="AG38" s="9"/>
      <c r="AH38" s="9">
        <v>0</v>
      </c>
      <c r="AI38" s="9">
        <v>6</v>
      </c>
      <c r="AJ38" s="9"/>
      <c r="AK38" s="9"/>
      <c r="AL38" s="9">
        <v>0</v>
      </c>
      <c r="AM38" s="9">
        <v>0</v>
      </c>
      <c r="AN38" s="9">
        <v>0</v>
      </c>
      <c r="AO38" s="9"/>
      <c r="AP38" s="9">
        <v>1</v>
      </c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16"/>
      <c r="BK38" s="1">
        <v>0</v>
      </c>
      <c r="BL38" s="18">
        <v>56</v>
      </c>
      <c r="BM38" s="9">
        <f t="shared" si="6"/>
        <v>56</v>
      </c>
      <c r="BN38" s="2">
        <f t="shared" si="7"/>
        <v>56</v>
      </c>
      <c r="BO38" s="13">
        <f t="shared" si="8"/>
        <v>0</v>
      </c>
      <c r="BP38" s="14">
        <f t="shared" si="9"/>
        <v>0</v>
      </c>
      <c r="BQ38" s="2"/>
      <c r="BR38" s="2"/>
      <c r="BS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5"/>
    </row>
    <row r="39" spans="1:87" ht="12" customHeight="1" x14ac:dyDescent="0.35">
      <c r="A39" s="9">
        <f t="shared" si="10"/>
        <v>37</v>
      </c>
      <c r="B39" s="1">
        <v>17</v>
      </c>
      <c r="C39" s="15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>
        <v>1</v>
      </c>
      <c r="X39" s="9">
        <v>0</v>
      </c>
      <c r="Y39" s="9">
        <v>0</v>
      </c>
      <c r="Z39" s="9"/>
      <c r="AA39" s="9"/>
      <c r="AB39" s="9"/>
      <c r="AC39" s="9"/>
      <c r="AD39" s="9">
        <v>1</v>
      </c>
      <c r="AE39" s="9"/>
      <c r="AF39" s="9"/>
      <c r="AG39" s="9">
        <v>1</v>
      </c>
      <c r="AH39" s="9">
        <v>2</v>
      </c>
      <c r="AI39" s="9">
        <v>0</v>
      </c>
      <c r="AJ39" s="9">
        <v>2</v>
      </c>
      <c r="AK39" s="9">
        <v>0</v>
      </c>
      <c r="AL39" s="9"/>
      <c r="AM39" s="9">
        <v>1</v>
      </c>
      <c r="AN39" s="9">
        <v>1</v>
      </c>
      <c r="AO39" s="9">
        <v>1</v>
      </c>
      <c r="AP39" s="9">
        <v>0</v>
      </c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16"/>
      <c r="BK39" s="1">
        <v>0</v>
      </c>
      <c r="BL39" s="18">
        <v>57</v>
      </c>
      <c r="BM39" s="9">
        <f t="shared" si="6"/>
        <v>57</v>
      </c>
      <c r="BN39" s="2">
        <f t="shared" si="7"/>
        <v>57</v>
      </c>
      <c r="BO39" s="13">
        <f t="shared" si="8"/>
        <v>0</v>
      </c>
      <c r="BP39" s="14">
        <f t="shared" si="9"/>
        <v>0</v>
      </c>
      <c r="BQ39" s="2"/>
      <c r="BR39" s="2"/>
      <c r="BS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5"/>
    </row>
    <row r="40" spans="1:87" ht="12" customHeight="1" x14ac:dyDescent="0.35">
      <c r="A40" s="9">
        <f t="shared" si="10"/>
        <v>38</v>
      </c>
      <c r="B40" s="1">
        <v>17</v>
      </c>
      <c r="C40" s="15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>
        <v>2</v>
      </c>
      <c r="X40" s="9">
        <v>3</v>
      </c>
      <c r="Y40" s="9"/>
      <c r="Z40" s="9"/>
      <c r="AA40" s="9">
        <v>0</v>
      </c>
      <c r="AB40" s="9"/>
      <c r="AC40" s="9"/>
      <c r="AD40" s="9"/>
      <c r="AE40" s="9"/>
      <c r="AF40" s="9"/>
      <c r="AG40" s="9">
        <v>0</v>
      </c>
      <c r="AH40" s="9">
        <v>0</v>
      </c>
      <c r="AI40" s="9">
        <v>1</v>
      </c>
      <c r="AJ40" s="9"/>
      <c r="AK40" s="9"/>
      <c r="AL40" s="9">
        <v>0</v>
      </c>
      <c r="AM40" s="9">
        <v>2</v>
      </c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16"/>
      <c r="BK40" s="1">
        <v>0</v>
      </c>
      <c r="BL40" s="18">
        <v>10</v>
      </c>
      <c r="BM40" s="9">
        <f t="shared" si="6"/>
        <v>10</v>
      </c>
      <c r="BN40" s="2">
        <f t="shared" si="7"/>
        <v>11</v>
      </c>
      <c r="BO40" s="13">
        <f t="shared" si="8"/>
        <v>1</v>
      </c>
      <c r="BP40" s="14">
        <f t="shared" si="9"/>
        <v>17</v>
      </c>
      <c r="BQ40" s="2"/>
      <c r="BR40" s="2"/>
      <c r="BS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5"/>
    </row>
    <row r="41" spans="1:87" ht="12" customHeight="1" x14ac:dyDescent="0.35">
      <c r="A41" s="9">
        <f t="shared" si="10"/>
        <v>39</v>
      </c>
      <c r="B41" s="1">
        <v>20</v>
      </c>
      <c r="C41" s="15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>
        <v>0</v>
      </c>
      <c r="AA41" s="9">
        <v>0</v>
      </c>
      <c r="AB41" s="9">
        <v>0</v>
      </c>
      <c r="AC41" s="9"/>
      <c r="AD41" s="9">
        <v>0</v>
      </c>
      <c r="AE41" s="9"/>
      <c r="AF41" s="9"/>
      <c r="AG41" s="9">
        <v>0</v>
      </c>
      <c r="AH41" s="9"/>
      <c r="AI41" s="9"/>
      <c r="AJ41" s="9"/>
      <c r="AK41" s="9">
        <v>2</v>
      </c>
      <c r="AL41" s="9">
        <v>0</v>
      </c>
      <c r="AM41" s="9"/>
      <c r="AN41" s="9"/>
      <c r="AO41" s="9">
        <v>4</v>
      </c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16"/>
      <c r="BK41" s="1">
        <v>0</v>
      </c>
      <c r="BL41" s="18">
        <v>16</v>
      </c>
      <c r="BM41" s="9">
        <f t="shared" si="6"/>
        <v>16</v>
      </c>
      <c r="BN41" s="2">
        <f t="shared" si="7"/>
        <v>16</v>
      </c>
      <c r="BO41" s="13">
        <f t="shared" si="8"/>
        <v>0</v>
      </c>
      <c r="BP41" s="14">
        <f t="shared" si="9"/>
        <v>0</v>
      </c>
      <c r="BQ41" s="2"/>
      <c r="BR41" s="2"/>
      <c r="BS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5"/>
    </row>
    <row r="42" spans="1:87" ht="12" customHeight="1" x14ac:dyDescent="0.35">
      <c r="A42" s="9">
        <f t="shared" si="10"/>
        <v>40</v>
      </c>
      <c r="B42" s="1">
        <v>14</v>
      </c>
      <c r="C42" s="15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>
        <v>0</v>
      </c>
      <c r="Y42" s="9"/>
      <c r="Z42" s="9">
        <v>0</v>
      </c>
      <c r="AA42" s="9"/>
      <c r="AB42" s="9"/>
      <c r="AC42" s="9">
        <v>1</v>
      </c>
      <c r="AD42" s="9">
        <v>0</v>
      </c>
      <c r="AE42" s="9"/>
      <c r="AF42" s="9"/>
      <c r="AG42" s="9"/>
      <c r="AH42" s="9">
        <v>1</v>
      </c>
      <c r="AI42" s="9"/>
      <c r="AJ42" s="9">
        <v>4</v>
      </c>
      <c r="AK42" s="9"/>
      <c r="AL42" s="9">
        <v>2</v>
      </c>
      <c r="AM42" s="9"/>
      <c r="AN42" s="9"/>
      <c r="AO42" s="9">
        <v>0</v>
      </c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16"/>
      <c r="BK42" s="1">
        <v>0</v>
      </c>
      <c r="BL42" s="18">
        <v>82</v>
      </c>
      <c r="BM42" s="9">
        <f t="shared" si="6"/>
        <v>82</v>
      </c>
      <c r="BN42" s="2">
        <f t="shared" si="7"/>
        <v>82</v>
      </c>
      <c r="BO42" s="13">
        <f t="shared" si="8"/>
        <v>0</v>
      </c>
      <c r="BP42" s="14">
        <f t="shared" si="9"/>
        <v>0</v>
      </c>
      <c r="BQ42" s="2"/>
      <c r="BR42" s="2"/>
      <c r="BS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5"/>
    </row>
    <row r="43" spans="1:87" ht="12" customHeight="1" x14ac:dyDescent="0.35">
      <c r="A43" s="9">
        <f t="shared" si="10"/>
        <v>41</v>
      </c>
      <c r="B43" s="1">
        <v>14</v>
      </c>
      <c r="C43" s="15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>
        <v>7</v>
      </c>
      <c r="AR43" s="9"/>
      <c r="AS43" s="9"/>
      <c r="AT43" s="9"/>
      <c r="AU43" s="9"/>
      <c r="AV43" s="9">
        <v>1</v>
      </c>
      <c r="AW43" s="9"/>
      <c r="AX43" s="9"/>
      <c r="AY43" s="9">
        <v>1</v>
      </c>
      <c r="AZ43" s="9"/>
      <c r="BA43" s="9">
        <v>4</v>
      </c>
      <c r="BB43" s="9"/>
      <c r="BC43" s="9">
        <v>1</v>
      </c>
      <c r="BD43" s="9"/>
      <c r="BE43" s="9"/>
      <c r="BF43" s="9"/>
      <c r="BG43" s="9">
        <v>1</v>
      </c>
      <c r="BH43" s="9"/>
      <c r="BI43" s="9">
        <v>1</v>
      </c>
      <c r="BJ43" s="16">
        <v>1</v>
      </c>
      <c r="BK43" s="1">
        <v>0</v>
      </c>
      <c r="BL43" s="18">
        <v>27</v>
      </c>
      <c r="BM43" s="9">
        <f t="shared" si="6"/>
        <v>27</v>
      </c>
      <c r="BN43" s="2">
        <f t="shared" si="7"/>
        <v>51</v>
      </c>
      <c r="BO43" s="13">
        <f t="shared" si="8"/>
        <v>24</v>
      </c>
      <c r="BP43" s="14">
        <f t="shared" si="9"/>
        <v>336</v>
      </c>
      <c r="BQ43" s="2"/>
      <c r="BR43" s="2"/>
      <c r="BS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5"/>
    </row>
    <row r="44" spans="1:87" ht="12" customHeight="1" x14ac:dyDescent="0.35">
      <c r="A44" s="9">
        <f t="shared" si="10"/>
        <v>42</v>
      </c>
      <c r="B44" s="1">
        <v>28</v>
      </c>
      <c r="C44" s="15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>
        <v>3</v>
      </c>
      <c r="AS44" s="9"/>
      <c r="AT44" s="9"/>
      <c r="AU44" s="9"/>
      <c r="AV44" s="9"/>
      <c r="AW44" s="9"/>
      <c r="AX44" s="9"/>
      <c r="AY44" s="9"/>
      <c r="AZ44" s="9"/>
      <c r="BA44" s="9">
        <v>1</v>
      </c>
      <c r="BB44" s="9">
        <v>2</v>
      </c>
      <c r="BC44" s="9"/>
      <c r="BD44" s="9"/>
      <c r="BE44" s="9"/>
      <c r="BF44" s="9">
        <v>1</v>
      </c>
      <c r="BG44" s="9"/>
      <c r="BH44" s="9"/>
      <c r="BI44" s="9">
        <v>1</v>
      </c>
      <c r="BJ44" s="16"/>
      <c r="BK44" s="1">
        <v>0</v>
      </c>
      <c r="BL44" s="18">
        <v>57</v>
      </c>
      <c r="BM44" s="9">
        <f t="shared" si="6"/>
        <v>57</v>
      </c>
      <c r="BN44" s="2">
        <f t="shared" si="7"/>
        <v>57</v>
      </c>
      <c r="BO44" s="13">
        <f t="shared" si="8"/>
        <v>0</v>
      </c>
      <c r="BP44" s="14">
        <f t="shared" si="9"/>
        <v>0</v>
      </c>
      <c r="BQ44" s="2"/>
      <c r="BR44" s="2"/>
      <c r="BS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5"/>
    </row>
    <row r="45" spans="1:87" ht="12" customHeight="1" x14ac:dyDescent="0.35">
      <c r="A45" s="9">
        <f t="shared" si="10"/>
        <v>43</v>
      </c>
      <c r="B45" s="1">
        <v>22</v>
      </c>
      <c r="C45" s="15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>
        <v>3</v>
      </c>
      <c r="AT45" s="9"/>
      <c r="AU45" s="9"/>
      <c r="AV45" s="9"/>
      <c r="AW45" s="9">
        <v>1</v>
      </c>
      <c r="AX45" s="9"/>
      <c r="AY45" s="9"/>
      <c r="AZ45" s="9"/>
      <c r="BA45" s="9"/>
      <c r="BB45" s="9">
        <v>1</v>
      </c>
      <c r="BC45" s="9">
        <v>2</v>
      </c>
      <c r="BD45" s="9"/>
      <c r="BE45" s="9"/>
      <c r="BF45" s="9"/>
      <c r="BG45" s="9"/>
      <c r="BH45" s="9"/>
      <c r="BI45" s="9"/>
      <c r="BJ45" s="16"/>
      <c r="BK45" s="1">
        <v>0</v>
      </c>
      <c r="BL45" s="18">
        <v>32</v>
      </c>
      <c r="BM45" s="9">
        <f t="shared" si="6"/>
        <v>32</v>
      </c>
      <c r="BN45" s="2">
        <f t="shared" si="7"/>
        <v>33</v>
      </c>
      <c r="BO45" s="13">
        <f t="shared" si="8"/>
        <v>1</v>
      </c>
      <c r="BP45" s="14">
        <f t="shared" si="9"/>
        <v>22</v>
      </c>
      <c r="BQ45" s="2"/>
      <c r="BR45" s="2"/>
      <c r="BS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5"/>
    </row>
    <row r="46" spans="1:87" ht="12" customHeight="1" x14ac:dyDescent="0.35">
      <c r="A46" s="9">
        <f t="shared" si="10"/>
        <v>44</v>
      </c>
      <c r="B46" s="1">
        <v>16</v>
      </c>
      <c r="C46" s="15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>
        <v>1</v>
      </c>
      <c r="AS46" s="9"/>
      <c r="AT46" s="9">
        <v>5</v>
      </c>
      <c r="AU46" s="9"/>
      <c r="AV46" s="9"/>
      <c r="AW46" s="9"/>
      <c r="AX46" s="9"/>
      <c r="AY46" s="9"/>
      <c r="AZ46" s="9"/>
      <c r="BA46" s="9">
        <v>1</v>
      </c>
      <c r="BB46" s="9">
        <v>1</v>
      </c>
      <c r="BC46" s="9"/>
      <c r="BD46" s="9">
        <v>3</v>
      </c>
      <c r="BE46" s="9"/>
      <c r="BF46" s="9"/>
      <c r="BG46" s="9"/>
      <c r="BH46" s="9"/>
      <c r="BI46" s="9"/>
      <c r="BJ46" s="16">
        <v>1</v>
      </c>
      <c r="BK46" s="1">
        <v>0</v>
      </c>
      <c r="BL46" s="18">
        <v>35</v>
      </c>
      <c r="BM46" s="9">
        <f t="shared" si="6"/>
        <v>35</v>
      </c>
      <c r="BN46" s="2">
        <f t="shared" si="7"/>
        <v>35</v>
      </c>
      <c r="BO46" s="13">
        <f t="shared" si="8"/>
        <v>0</v>
      </c>
      <c r="BP46" s="14">
        <f t="shared" si="9"/>
        <v>0</v>
      </c>
      <c r="BQ46" s="2"/>
      <c r="BR46" s="2"/>
      <c r="BS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5"/>
    </row>
    <row r="47" spans="1:87" ht="12" customHeight="1" x14ac:dyDescent="0.35">
      <c r="A47" s="9">
        <f t="shared" si="10"/>
        <v>45</v>
      </c>
      <c r="B47" s="1">
        <v>16</v>
      </c>
      <c r="C47" s="15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>
        <v>6</v>
      </c>
      <c r="AV47" s="9"/>
      <c r="AW47" s="9"/>
      <c r="AX47" s="9">
        <v>1</v>
      </c>
      <c r="AY47" s="9"/>
      <c r="AZ47" s="9"/>
      <c r="BA47" s="9"/>
      <c r="BB47" s="9"/>
      <c r="BC47" s="9">
        <v>1</v>
      </c>
      <c r="BD47" s="9"/>
      <c r="BE47" s="9">
        <v>3</v>
      </c>
      <c r="BF47" s="9"/>
      <c r="BG47" s="9"/>
      <c r="BH47" s="9">
        <v>1</v>
      </c>
      <c r="BI47" s="9"/>
      <c r="BJ47" s="16">
        <v>1</v>
      </c>
      <c r="BK47" s="1">
        <v>0</v>
      </c>
      <c r="BL47" s="18">
        <v>38</v>
      </c>
      <c r="BM47" s="9">
        <f t="shared" si="6"/>
        <v>38</v>
      </c>
      <c r="BN47" s="2">
        <f t="shared" si="7"/>
        <v>79</v>
      </c>
      <c r="BO47" s="13">
        <f t="shared" si="8"/>
        <v>41</v>
      </c>
      <c r="BP47" s="14">
        <f t="shared" si="9"/>
        <v>656</v>
      </c>
      <c r="BQ47" s="2"/>
      <c r="BR47" s="2"/>
      <c r="BS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5"/>
    </row>
    <row r="48" spans="1:87" ht="12" customHeight="1" x14ac:dyDescent="0.35">
      <c r="A48" s="9">
        <f t="shared" si="10"/>
        <v>46</v>
      </c>
      <c r="B48" s="1">
        <v>17</v>
      </c>
      <c r="C48" s="15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>
        <v>1</v>
      </c>
      <c r="AT48" s="9">
        <v>1</v>
      </c>
      <c r="AU48" s="9"/>
      <c r="AV48" s="9">
        <v>5</v>
      </c>
      <c r="AW48" s="9"/>
      <c r="AX48" s="9"/>
      <c r="AY48" s="9"/>
      <c r="AZ48" s="9"/>
      <c r="BA48" s="9"/>
      <c r="BB48" s="9"/>
      <c r="BC48" s="9"/>
      <c r="BD48" s="9"/>
      <c r="BE48" s="9">
        <v>1</v>
      </c>
      <c r="BF48" s="9">
        <v>3</v>
      </c>
      <c r="BG48" s="9"/>
      <c r="BH48" s="9"/>
      <c r="BI48" s="9"/>
      <c r="BJ48" s="16"/>
      <c r="BK48" s="1">
        <v>0</v>
      </c>
      <c r="BL48" s="18">
        <v>29</v>
      </c>
      <c r="BM48" s="9">
        <f t="shared" si="6"/>
        <v>29</v>
      </c>
      <c r="BN48" s="2">
        <f t="shared" si="7"/>
        <v>31</v>
      </c>
      <c r="BO48" s="13">
        <f t="shared" si="8"/>
        <v>2</v>
      </c>
      <c r="BP48" s="14">
        <f t="shared" si="9"/>
        <v>34</v>
      </c>
      <c r="BQ48" s="2"/>
      <c r="BR48" s="2"/>
      <c r="BS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5"/>
    </row>
    <row r="49" spans="1:88" ht="12" customHeight="1" x14ac:dyDescent="0.35">
      <c r="A49" s="9">
        <f t="shared" si="10"/>
        <v>47</v>
      </c>
      <c r="B49" s="1">
        <v>26</v>
      </c>
      <c r="C49" s="15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>
        <v>3</v>
      </c>
      <c r="AX49" s="9"/>
      <c r="AY49" s="9"/>
      <c r="AZ49" s="9"/>
      <c r="BA49" s="9"/>
      <c r="BB49" s="9"/>
      <c r="BC49" s="9">
        <v>1</v>
      </c>
      <c r="BD49" s="9">
        <v>1</v>
      </c>
      <c r="BE49" s="9"/>
      <c r="BF49" s="9"/>
      <c r="BG49" s="9">
        <v>2</v>
      </c>
      <c r="BH49" s="9"/>
      <c r="BI49" s="9"/>
      <c r="BJ49" s="16"/>
      <c r="BK49" s="1">
        <v>0</v>
      </c>
      <c r="BL49" s="18">
        <v>8</v>
      </c>
      <c r="BM49" s="9">
        <f t="shared" si="6"/>
        <v>8</v>
      </c>
      <c r="BN49" s="2">
        <f t="shared" si="7"/>
        <v>8</v>
      </c>
      <c r="BO49" s="13">
        <f t="shared" si="8"/>
        <v>0</v>
      </c>
      <c r="BP49" s="14">
        <f t="shared" si="9"/>
        <v>0</v>
      </c>
      <c r="BQ49" s="2"/>
      <c r="BR49" s="2"/>
      <c r="BS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5"/>
    </row>
    <row r="50" spans="1:88" ht="12" customHeight="1" x14ac:dyDescent="0.35">
      <c r="A50" s="9">
        <f t="shared" si="10"/>
        <v>48</v>
      </c>
      <c r="B50" s="1">
        <v>26</v>
      </c>
      <c r="C50" s="15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>
        <v>3</v>
      </c>
      <c r="AY50" s="9">
        <v>1</v>
      </c>
      <c r="AZ50" s="9"/>
      <c r="BA50" s="9"/>
      <c r="BB50" s="9"/>
      <c r="BC50" s="9"/>
      <c r="BD50" s="9">
        <v>1</v>
      </c>
      <c r="BE50" s="9"/>
      <c r="BF50" s="9"/>
      <c r="BG50" s="9"/>
      <c r="BH50" s="9">
        <v>2</v>
      </c>
      <c r="BI50" s="9">
        <v>1</v>
      </c>
      <c r="BJ50" s="16"/>
      <c r="BK50" s="1">
        <v>0</v>
      </c>
      <c r="BL50" s="18">
        <v>21</v>
      </c>
      <c r="BM50" s="9">
        <f t="shared" si="6"/>
        <v>21</v>
      </c>
      <c r="BN50" s="2">
        <f t="shared" si="7"/>
        <v>23</v>
      </c>
      <c r="BO50" s="13">
        <f t="shared" si="8"/>
        <v>2</v>
      </c>
      <c r="BP50" s="14">
        <f t="shared" si="9"/>
        <v>52</v>
      </c>
      <c r="BQ50" s="2"/>
      <c r="BR50" s="2"/>
      <c r="BS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5"/>
    </row>
    <row r="51" spans="1:88" ht="12" customHeight="1" x14ac:dyDescent="0.35">
      <c r="A51" s="9">
        <f t="shared" si="10"/>
        <v>49</v>
      </c>
      <c r="B51" s="1">
        <v>15</v>
      </c>
      <c r="C51" s="15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>
        <v>4</v>
      </c>
      <c r="AZ51" s="9">
        <v>1</v>
      </c>
      <c r="BA51" s="9"/>
      <c r="BB51" s="9"/>
      <c r="BC51" s="9"/>
      <c r="BD51" s="9"/>
      <c r="BE51" s="9">
        <v>1</v>
      </c>
      <c r="BF51" s="9"/>
      <c r="BG51" s="9">
        <v>1</v>
      </c>
      <c r="BH51" s="9">
        <v>1</v>
      </c>
      <c r="BI51" s="9">
        <v>2</v>
      </c>
      <c r="BJ51" s="16"/>
      <c r="BK51" s="1">
        <v>0</v>
      </c>
      <c r="BL51" s="18">
        <v>1</v>
      </c>
      <c r="BM51" s="9">
        <f t="shared" si="6"/>
        <v>1</v>
      </c>
      <c r="BN51" s="2">
        <f t="shared" si="7"/>
        <v>39</v>
      </c>
      <c r="BO51" s="13">
        <f t="shared" si="8"/>
        <v>38</v>
      </c>
      <c r="BP51" s="14">
        <f t="shared" si="9"/>
        <v>570</v>
      </c>
      <c r="BQ51" s="2"/>
      <c r="BR51" s="2"/>
      <c r="BS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5"/>
    </row>
    <row r="52" spans="1:88" ht="12" customHeight="1" x14ac:dyDescent="0.35">
      <c r="A52" s="9">
        <f t="shared" si="10"/>
        <v>50</v>
      </c>
      <c r="B52" s="1">
        <v>17</v>
      </c>
      <c r="C52" s="15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>
        <v>1</v>
      </c>
      <c r="AT52" s="9"/>
      <c r="AU52" s="9"/>
      <c r="AV52" s="9"/>
      <c r="AW52" s="9"/>
      <c r="AX52" s="9"/>
      <c r="AY52" s="9"/>
      <c r="AZ52" s="9">
        <v>5</v>
      </c>
      <c r="BA52" s="9"/>
      <c r="BB52" s="9"/>
      <c r="BC52" s="9"/>
      <c r="BD52" s="9"/>
      <c r="BE52" s="9">
        <v>1</v>
      </c>
      <c r="BF52" s="9">
        <v>1</v>
      </c>
      <c r="BG52" s="9">
        <v>1</v>
      </c>
      <c r="BH52" s="9">
        <v>1</v>
      </c>
      <c r="BI52" s="9"/>
      <c r="BJ52" s="16">
        <v>3</v>
      </c>
      <c r="BK52" s="1">
        <v>0</v>
      </c>
      <c r="BL52" s="18">
        <v>17</v>
      </c>
      <c r="BM52" s="9">
        <f t="shared" si="6"/>
        <v>17</v>
      </c>
      <c r="BN52" s="2">
        <f t="shared" si="7"/>
        <v>18</v>
      </c>
      <c r="BO52" s="13">
        <f t="shared" si="8"/>
        <v>1</v>
      </c>
      <c r="BP52" s="14">
        <f t="shared" si="9"/>
        <v>17</v>
      </c>
      <c r="BQ52" s="2"/>
      <c r="BR52" s="2"/>
      <c r="BS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5"/>
    </row>
    <row r="53" spans="1:88" ht="12" customHeight="1" x14ac:dyDescent="0.35">
      <c r="A53" s="9">
        <f t="shared" si="10"/>
        <v>51</v>
      </c>
      <c r="B53" s="1">
        <v>14</v>
      </c>
      <c r="C53" s="15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>
        <v>1</v>
      </c>
      <c r="AS53" s="9"/>
      <c r="AT53" s="9"/>
      <c r="AU53" s="9"/>
      <c r="AV53" s="9"/>
      <c r="AW53" s="9">
        <v>6</v>
      </c>
      <c r="AX53" s="9"/>
      <c r="AY53" s="9"/>
      <c r="AZ53" s="9"/>
      <c r="BA53" s="9"/>
      <c r="BB53" s="9"/>
      <c r="BC53" s="9"/>
      <c r="BD53" s="9">
        <v>1</v>
      </c>
      <c r="BE53" s="9"/>
      <c r="BF53" s="9"/>
      <c r="BG53" s="9"/>
      <c r="BH53" s="9"/>
      <c r="BI53" s="9"/>
      <c r="BJ53" s="16"/>
      <c r="BK53" s="1">
        <v>0</v>
      </c>
      <c r="BL53" s="18">
        <v>3</v>
      </c>
      <c r="BM53" s="9">
        <f t="shared" si="6"/>
        <v>3</v>
      </c>
      <c r="BN53" s="2">
        <f t="shared" si="7"/>
        <v>23</v>
      </c>
      <c r="BO53" s="13">
        <f t="shared" si="8"/>
        <v>20</v>
      </c>
      <c r="BP53" s="14">
        <f t="shared" si="9"/>
        <v>280</v>
      </c>
      <c r="BQ53" s="2"/>
      <c r="BR53" s="2"/>
      <c r="BS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5"/>
    </row>
    <row r="54" spans="1:88" ht="12" customHeight="1" x14ac:dyDescent="0.35">
      <c r="A54" s="9">
        <f t="shared" si="10"/>
        <v>52</v>
      </c>
      <c r="B54" s="1">
        <v>28</v>
      </c>
      <c r="C54" s="15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>
        <v>0</v>
      </c>
      <c r="AR54" s="9">
        <v>0</v>
      </c>
      <c r="AS54" s="9">
        <v>0</v>
      </c>
      <c r="AT54" s="9">
        <v>2</v>
      </c>
      <c r="AU54" s="9">
        <v>0</v>
      </c>
      <c r="AV54" s="9">
        <v>0</v>
      </c>
      <c r="AW54" s="9"/>
      <c r="AX54" s="9">
        <v>1</v>
      </c>
      <c r="AY54" s="9">
        <v>0</v>
      </c>
      <c r="AZ54" s="9">
        <v>0</v>
      </c>
      <c r="BA54" s="9"/>
      <c r="BB54" s="9">
        <v>1</v>
      </c>
      <c r="BC54" s="9">
        <v>2</v>
      </c>
      <c r="BD54" s="9">
        <v>1</v>
      </c>
      <c r="BE54" s="9">
        <v>1</v>
      </c>
      <c r="BF54" s="9"/>
      <c r="BG54" s="9"/>
      <c r="BH54" s="9">
        <v>0</v>
      </c>
      <c r="BI54" s="9"/>
      <c r="BJ54" s="16">
        <v>2</v>
      </c>
      <c r="BK54" s="1">
        <v>0</v>
      </c>
      <c r="BL54" s="18">
        <v>16</v>
      </c>
      <c r="BM54" s="9">
        <f t="shared" si="6"/>
        <v>16</v>
      </c>
      <c r="BN54" s="2">
        <f t="shared" si="7"/>
        <v>16</v>
      </c>
      <c r="BO54" s="13">
        <f t="shared" si="8"/>
        <v>0</v>
      </c>
      <c r="BP54" s="14">
        <f t="shared" si="9"/>
        <v>0</v>
      </c>
      <c r="BQ54" s="2"/>
      <c r="BR54" s="2"/>
      <c r="BS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5"/>
    </row>
    <row r="55" spans="1:88" ht="12" customHeight="1" x14ac:dyDescent="0.35">
      <c r="A55" s="9">
        <f t="shared" si="10"/>
        <v>53</v>
      </c>
      <c r="B55" s="1">
        <v>22</v>
      </c>
      <c r="C55" s="15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>
        <v>3</v>
      </c>
      <c r="AR55" s="9">
        <v>1</v>
      </c>
      <c r="AS55" s="9"/>
      <c r="AT55" s="9">
        <v>0</v>
      </c>
      <c r="AU55" s="9">
        <v>0</v>
      </c>
      <c r="AV55" s="9"/>
      <c r="AW55" s="9">
        <v>0</v>
      </c>
      <c r="AX55" s="9">
        <v>0</v>
      </c>
      <c r="AY55" s="9">
        <v>0</v>
      </c>
      <c r="AZ55" s="9">
        <v>1</v>
      </c>
      <c r="BA55" s="9">
        <v>4</v>
      </c>
      <c r="BB55" s="9">
        <v>0</v>
      </c>
      <c r="BC55" s="9">
        <v>0</v>
      </c>
      <c r="BD55" s="9">
        <v>2</v>
      </c>
      <c r="BE55" s="9">
        <v>0</v>
      </c>
      <c r="BF55" s="9">
        <v>0</v>
      </c>
      <c r="BG55" s="9">
        <v>0</v>
      </c>
      <c r="BH55" s="9">
        <v>2</v>
      </c>
      <c r="BI55" s="9">
        <v>2</v>
      </c>
      <c r="BJ55" s="16"/>
      <c r="BK55" s="1">
        <v>0</v>
      </c>
      <c r="BL55" s="18">
        <v>67</v>
      </c>
      <c r="BM55" s="9">
        <f t="shared" si="6"/>
        <v>67</v>
      </c>
      <c r="BN55" s="2">
        <f t="shared" si="7"/>
        <v>67</v>
      </c>
      <c r="BO55" s="13">
        <f t="shared" si="8"/>
        <v>0</v>
      </c>
      <c r="BP55" s="14">
        <f t="shared" si="9"/>
        <v>0</v>
      </c>
      <c r="BQ55" s="2"/>
      <c r="BR55" s="2"/>
      <c r="BS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5"/>
    </row>
    <row r="56" spans="1:88" ht="12" customHeight="1" x14ac:dyDescent="0.35">
      <c r="A56" s="9">
        <f t="shared" si="10"/>
        <v>54</v>
      </c>
      <c r="B56" s="1">
        <v>16</v>
      </c>
      <c r="C56" s="15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>
        <v>3</v>
      </c>
      <c r="AV56" s="9"/>
      <c r="AW56" s="9"/>
      <c r="AX56" s="9"/>
      <c r="AY56" s="9"/>
      <c r="AZ56" s="9"/>
      <c r="BA56" s="9">
        <v>0</v>
      </c>
      <c r="BB56" s="9"/>
      <c r="BC56" s="9"/>
      <c r="BD56" s="9"/>
      <c r="BE56" s="9">
        <v>1</v>
      </c>
      <c r="BF56" s="9"/>
      <c r="BG56" s="9"/>
      <c r="BH56" s="9"/>
      <c r="BI56" s="9"/>
      <c r="BJ56" s="16">
        <v>0</v>
      </c>
      <c r="BK56" s="1">
        <v>0</v>
      </c>
      <c r="BL56" s="18">
        <v>34</v>
      </c>
      <c r="BM56" s="9">
        <f t="shared" si="6"/>
        <v>34</v>
      </c>
      <c r="BN56" s="2">
        <f t="shared" si="7"/>
        <v>34</v>
      </c>
      <c r="BO56" s="13">
        <f t="shared" si="8"/>
        <v>0</v>
      </c>
      <c r="BP56" s="14">
        <f t="shared" si="9"/>
        <v>0</v>
      </c>
      <c r="BQ56" s="2"/>
      <c r="BR56" s="2"/>
      <c r="BS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5"/>
    </row>
    <row r="57" spans="1:88" ht="12" customHeight="1" x14ac:dyDescent="0.35">
      <c r="A57" s="9">
        <f t="shared" si="10"/>
        <v>55</v>
      </c>
      <c r="B57" s="1">
        <v>16</v>
      </c>
      <c r="C57" s="15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>
        <v>2</v>
      </c>
      <c r="AR57" s="9">
        <v>4</v>
      </c>
      <c r="AS57" s="9">
        <v>3</v>
      </c>
      <c r="AT57" s="9">
        <v>0</v>
      </c>
      <c r="AU57" s="9"/>
      <c r="AV57" s="9">
        <v>1</v>
      </c>
      <c r="AW57" s="9"/>
      <c r="AX57" s="9"/>
      <c r="AY57" s="9">
        <v>1</v>
      </c>
      <c r="AZ57" s="9">
        <v>2</v>
      </c>
      <c r="BA57" s="9">
        <v>0</v>
      </c>
      <c r="BB57" s="9">
        <v>1</v>
      </c>
      <c r="BC57" s="9"/>
      <c r="BD57" s="9"/>
      <c r="BE57" s="9">
        <v>1</v>
      </c>
      <c r="BF57" s="9">
        <v>0</v>
      </c>
      <c r="BG57" s="9">
        <v>0</v>
      </c>
      <c r="BH57" s="9">
        <v>0</v>
      </c>
      <c r="BI57" s="9"/>
      <c r="BJ57" s="16"/>
      <c r="BK57" s="1">
        <v>0</v>
      </c>
      <c r="BL57" s="18">
        <v>24</v>
      </c>
      <c r="BM57" s="9">
        <f t="shared" si="6"/>
        <v>24</v>
      </c>
      <c r="BN57" s="2">
        <f t="shared" si="7"/>
        <v>82</v>
      </c>
      <c r="BO57" s="13">
        <f t="shared" si="8"/>
        <v>58</v>
      </c>
      <c r="BP57" s="14">
        <f t="shared" si="9"/>
        <v>928</v>
      </c>
      <c r="BQ57" s="2"/>
      <c r="BR57" s="2"/>
      <c r="BS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5"/>
    </row>
    <row r="58" spans="1:88" ht="12" customHeight="1" x14ac:dyDescent="0.35">
      <c r="A58" s="9">
        <f t="shared" si="10"/>
        <v>56</v>
      </c>
      <c r="B58" s="1">
        <v>17</v>
      </c>
      <c r="C58" s="15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>
        <v>1</v>
      </c>
      <c r="AV58" s="9"/>
      <c r="AW58" s="9"/>
      <c r="AX58" s="9"/>
      <c r="AY58" s="9"/>
      <c r="AZ58" s="9"/>
      <c r="BA58" s="9">
        <v>0</v>
      </c>
      <c r="BB58" s="9"/>
      <c r="BC58" s="9"/>
      <c r="BD58" s="9"/>
      <c r="BE58" s="9"/>
      <c r="BF58" s="9"/>
      <c r="BG58" s="9">
        <v>3</v>
      </c>
      <c r="BH58" s="9"/>
      <c r="BI58" s="9"/>
      <c r="BJ58" s="16">
        <v>0</v>
      </c>
      <c r="BK58" s="1">
        <v>0</v>
      </c>
      <c r="BL58" s="18">
        <v>10</v>
      </c>
      <c r="BM58" s="9">
        <f t="shared" si="6"/>
        <v>10</v>
      </c>
      <c r="BN58" s="2">
        <f t="shared" si="7"/>
        <v>10</v>
      </c>
      <c r="BO58" s="13">
        <f t="shared" si="8"/>
        <v>0</v>
      </c>
      <c r="BP58" s="14">
        <f t="shared" si="9"/>
        <v>0</v>
      </c>
      <c r="BQ58" s="2"/>
      <c r="BR58" s="2"/>
      <c r="BS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5"/>
    </row>
    <row r="59" spans="1:88" ht="12" customHeight="1" x14ac:dyDescent="0.35">
      <c r="A59" s="9">
        <f t="shared" si="10"/>
        <v>57</v>
      </c>
      <c r="B59" s="1">
        <v>26</v>
      </c>
      <c r="C59" s="15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>
        <v>0</v>
      </c>
      <c r="AR59" s="9">
        <v>0</v>
      </c>
      <c r="AS59" s="9">
        <v>1</v>
      </c>
      <c r="AT59" s="9">
        <v>0</v>
      </c>
      <c r="AU59" s="9">
        <v>1</v>
      </c>
      <c r="AV59" s="9"/>
      <c r="AW59" s="9">
        <v>0</v>
      </c>
      <c r="AX59" s="9">
        <v>2</v>
      </c>
      <c r="AY59" s="9"/>
      <c r="AZ59" s="9">
        <v>0</v>
      </c>
      <c r="BA59" s="9">
        <v>0</v>
      </c>
      <c r="BB59" s="9">
        <v>2</v>
      </c>
      <c r="BC59" s="9">
        <v>1</v>
      </c>
      <c r="BD59" s="9"/>
      <c r="BE59" s="9"/>
      <c r="BF59" s="9">
        <v>0</v>
      </c>
      <c r="BG59" s="9">
        <v>1</v>
      </c>
      <c r="BH59" s="9">
        <v>0</v>
      </c>
      <c r="BI59" s="9"/>
      <c r="BJ59" s="16">
        <v>0</v>
      </c>
      <c r="BK59" s="1">
        <v>0</v>
      </c>
      <c r="BL59" s="18">
        <v>32</v>
      </c>
      <c r="BM59" s="9">
        <f t="shared" si="6"/>
        <v>32</v>
      </c>
      <c r="BN59" s="2">
        <f t="shared" si="7"/>
        <v>37</v>
      </c>
      <c r="BO59" s="13">
        <f t="shared" si="8"/>
        <v>5</v>
      </c>
      <c r="BP59" s="14">
        <f t="shared" si="9"/>
        <v>130</v>
      </c>
      <c r="BQ59" s="2"/>
      <c r="BR59" s="2"/>
      <c r="BS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5"/>
    </row>
    <row r="60" spans="1:88" ht="12" customHeight="1" x14ac:dyDescent="0.35">
      <c r="A60" s="9">
        <f t="shared" si="10"/>
        <v>58</v>
      </c>
      <c r="B60" s="1">
        <v>26</v>
      </c>
      <c r="C60" s="15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>
        <v>1</v>
      </c>
      <c r="AU60" s="9">
        <v>0</v>
      </c>
      <c r="AV60" s="9">
        <v>1</v>
      </c>
      <c r="AW60" s="9"/>
      <c r="AX60" s="9"/>
      <c r="AY60" s="9">
        <v>1</v>
      </c>
      <c r="AZ60" s="9"/>
      <c r="BA60" s="9">
        <v>0</v>
      </c>
      <c r="BB60" s="9"/>
      <c r="BC60" s="9">
        <v>0</v>
      </c>
      <c r="BD60" s="9">
        <v>0</v>
      </c>
      <c r="BE60" s="9">
        <v>1</v>
      </c>
      <c r="BF60" s="9">
        <v>0</v>
      </c>
      <c r="BG60" s="9">
        <v>0</v>
      </c>
      <c r="BH60" s="9">
        <v>1</v>
      </c>
      <c r="BI60" s="9">
        <v>0</v>
      </c>
      <c r="BJ60" s="16"/>
      <c r="BK60" s="1">
        <v>0</v>
      </c>
      <c r="BL60" s="18">
        <v>22</v>
      </c>
      <c r="BM60" s="9">
        <f t="shared" si="6"/>
        <v>22</v>
      </c>
      <c r="BN60" s="2">
        <f t="shared" si="7"/>
        <v>22</v>
      </c>
      <c r="BO60" s="13">
        <f t="shared" si="8"/>
        <v>0</v>
      </c>
      <c r="BP60" s="14">
        <f t="shared" si="9"/>
        <v>0</v>
      </c>
      <c r="BQ60" s="2"/>
      <c r="BR60" s="2"/>
      <c r="BS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5"/>
    </row>
    <row r="61" spans="1:88" ht="12" customHeight="1" x14ac:dyDescent="0.35">
      <c r="A61" s="9">
        <f t="shared" si="10"/>
        <v>59</v>
      </c>
      <c r="B61" s="1">
        <v>15</v>
      </c>
      <c r="C61" s="15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>
        <v>0</v>
      </c>
      <c r="AR61" s="9"/>
      <c r="AS61" s="9">
        <v>0</v>
      </c>
      <c r="AT61" s="9">
        <v>1</v>
      </c>
      <c r="AU61" s="9"/>
      <c r="AV61" s="9">
        <v>0</v>
      </c>
      <c r="AW61" s="9">
        <v>1</v>
      </c>
      <c r="AX61" s="9"/>
      <c r="AY61" s="9">
        <v>3</v>
      </c>
      <c r="AZ61" s="9">
        <v>0</v>
      </c>
      <c r="BA61" s="9"/>
      <c r="BB61" s="9"/>
      <c r="BC61" s="9"/>
      <c r="BD61" s="9">
        <v>0</v>
      </c>
      <c r="BE61" s="9"/>
      <c r="BF61" s="9">
        <v>2</v>
      </c>
      <c r="BG61" s="9">
        <v>1</v>
      </c>
      <c r="BH61" s="9">
        <v>0</v>
      </c>
      <c r="BI61" s="9">
        <v>1</v>
      </c>
      <c r="BJ61" s="16"/>
      <c r="BK61" s="1">
        <v>0</v>
      </c>
      <c r="BL61" s="18">
        <v>23</v>
      </c>
      <c r="BM61" s="9">
        <f t="shared" si="6"/>
        <v>23</v>
      </c>
      <c r="BN61" s="2">
        <f t="shared" si="7"/>
        <v>23</v>
      </c>
      <c r="BO61" s="13">
        <f t="shared" si="8"/>
        <v>0</v>
      </c>
      <c r="BP61" s="14">
        <f t="shared" si="9"/>
        <v>0</v>
      </c>
      <c r="BQ61" s="2"/>
      <c r="BR61" s="2"/>
      <c r="BS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5"/>
    </row>
    <row r="62" spans="1:88" ht="12" customHeight="1" x14ac:dyDescent="0.35">
      <c r="A62" s="9">
        <f t="shared" si="10"/>
        <v>60</v>
      </c>
      <c r="B62" s="1">
        <v>17</v>
      </c>
      <c r="C62" s="19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>
        <v>0</v>
      </c>
      <c r="AR62" s="20">
        <v>0</v>
      </c>
      <c r="AS62" s="20"/>
      <c r="AT62" s="20">
        <v>0</v>
      </c>
      <c r="AU62" s="20"/>
      <c r="AV62" s="20">
        <v>2</v>
      </c>
      <c r="AW62" s="20">
        <v>0</v>
      </c>
      <c r="AX62" s="20">
        <v>1</v>
      </c>
      <c r="AY62" s="20"/>
      <c r="AZ62" s="20">
        <v>2</v>
      </c>
      <c r="BA62" s="20"/>
      <c r="BB62" s="20"/>
      <c r="BC62" s="20"/>
      <c r="BD62" s="20">
        <v>0</v>
      </c>
      <c r="BE62" s="20">
        <v>0</v>
      </c>
      <c r="BF62" s="20">
        <v>4</v>
      </c>
      <c r="BG62" s="20"/>
      <c r="BH62" s="20">
        <v>1</v>
      </c>
      <c r="BI62" s="20">
        <v>2</v>
      </c>
      <c r="BJ62" s="21">
        <v>2</v>
      </c>
      <c r="BK62" s="1">
        <v>0</v>
      </c>
      <c r="BL62" s="18">
        <v>12</v>
      </c>
      <c r="BM62" s="9">
        <f t="shared" si="6"/>
        <v>12</v>
      </c>
      <c r="BN62" s="2">
        <f t="shared" si="7"/>
        <v>15</v>
      </c>
      <c r="BO62" s="13">
        <f t="shared" si="8"/>
        <v>3</v>
      </c>
      <c r="BP62" s="14">
        <f t="shared" si="9"/>
        <v>51</v>
      </c>
      <c r="BQ62" s="2"/>
      <c r="BR62" s="2"/>
      <c r="BS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5"/>
    </row>
    <row r="63" spans="1:88" ht="16.5" x14ac:dyDescent="0.4">
      <c r="B63" s="22" t="s">
        <v>6</v>
      </c>
      <c r="C63" s="23">
        <v>0</v>
      </c>
      <c r="D63" s="23">
        <v>1</v>
      </c>
      <c r="E63" s="23">
        <v>1</v>
      </c>
      <c r="F63" s="23">
        <v>6</v>
      </c>
      <c r="G63" s="23">
        <v>2</v>
      </c>
      <c r="H63" s="23">
        <v>1</v>
      </c>
      <c r="I63" s="23">
        <v>4</v>
      </c>
      <c r="J63" s="23">
        <v>3</v>
      </c>
      <c r="K63" s="23">
        <v>2</v>
      </c>
      <c r="L63" s="23">
        <v>3</v>
      </c>
      <c r="M63" s="23">
        <v>0</v>
      </c>
      <c r="N63" s="23">
        <v>0</v>
      </c>
      <c r="O63" s="23">
        <v>9</v>
      </c>
      <c r="P63" s="23">
        <v>6</v>
      </c>
      <c r="Q63" s="23">
        <v>0</v>
      </c>
      <c r="R63" s="23">
        <v>2</v>
      </c>
      <c r="S63" s="23">
        <v>2</v>
      </c>
      <c r="T63" s="23">
        <v>9</v>
      </c>
      <c r="U63" s="23">
        <v>5</v>
      </c>
      <c r="V63" s="24">
        <v>3</v>
      </c>
      <c r="W63" s="24">
        <v>0</v>
      </c>
      <c r="X63" s="24">
        <v>0</v>
      </c>
      <c r="Y63" s="24">
        <v>2</v>
      </c>
      <c r="Z63" s="24">
        <v>0</v>
      </c>
      <c r="AA63" s="24">
        <v>14</v>
      </c>
      <c r="AB63" s="24">
        <v>0</v>
      </c>
      <c r="AC63" s="24">
        <v>19</v>
      </c>
      <c r="AD63" s="24">
        <v>0</v>
      </c>
      <c r="AE63" s="24">
        <v>12</v>
      </c>
      <c r="AF63" s="24">
        <v>23</v>
      </c>
      <c r="AG63" s="24">
        <v>0</v>
      </c>
      <c r="AH63" s="24">
        <v>3</v>
      </c>
      <c r="AI63" s="24">
        <v>5</v>
      </c>
      <c r="AJ63" s="24">
        <v>15</v>
      </c>
      <c r="AK63" s="24">
        <v>0</v>
      </c>
      <c r="AL63" s="24">
        <v>0</v>
      </c>
      <c r="AM63" s="24">
        <v>3</v>
      </c>
      <c r="AN63" s="24">
        <v>14</v>
      </c>
      <c r="AO63" s="24">
        <v>4</v>
      </c>
      <c r="AP63" s="24">
        <v>14</v>
      </c>
      <c r="AQ63" s="24">
        <v>0</v>
      </c>
      <c r="AR63" s="24">
        <v>9</v>
      </c>
      <c r="AS63" s="24">
        <v>7</v>
      </c>
      <c r="AT63" s="24">
        <v>0</v>
      </c>
      <c r="AU63" s="24">
        <v>10</v>
      </c>
      <c r="AV63" s="24">
        <v>4</v>
      </c>
      <c r="AW63" s="24">
        <v>2</v>
      </c>
      <c r="AX63" s="24">
        <v>0</v>
      </c>
      <c r="AY63" s="24">
        <v>7</v>
      </c>
      <c r="AZ63" s="24">
        <v>0</v>
      </c>
      <c r="BA63" s="24">
        <v>10</v>
      </c>
      <c r="BB63" s="24">
        <v>10</v>
      </c>
      <c r="BC63" s="24">
        <v>0</v>
      </c>
      <c r="BD63" s="24">
        <v>2</v>
      </c>
      <c r="BE63" s="24">
        <v>4</v>
      </c>
      <c r="BF63" s="24">
        <v>0</v>
      </c>
      <c r="BG63" s="24">
        <v>0</v>
      </c>
      <c r="BH63" s="24">
        <v>7</v>
      </c>
      <c r="BI63" s="24">
        <v>0</v>
      </c>
      <c r="BJ63" s="24">
        <v>0</v>
      </c>
      <c r="BL63" s="14">
        <f>SUM(BL3:BL62)</f>
        <v>1421</v>
      </c>
      <c r="BM63" s="14">
        <f>SUM(BM3:BM62)</f>
        <v>1421</v>
      </c>
      <c r="BN63" s="14">
        <f>SUM(BN3:BN62)</f>
        <v>2278</v>
      </c>
      <c r="BO63" s="14">
        <f>SUM(BO3:BO62)</f>
        <v>857</v>
      </c>
      <c r="BP63" s="25">
        <f>SUM(BP3:BP62)</f>
        <v>16088</v>
      </c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2"/>
      <c r="CI63" s="2"/>
    </row>
    <row r="64" spans="1:88" x14ac:dyDescent="0.35"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</row>
    <row r="65" spans="64:88" ht="12" customHeight="1" x14ac:dyDescent="0.35">
      <c r="BL65" s="26"/>
      <c r="BM65" s="26"/>
      <c r="BN65" s="26"/>
      <c r="BO65" s="27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</row>
    <row r="66" spans="64:88" ht="12" customHeight="1" x14ac:dyDescent="0.35">
      <c r="BL66" s="26"/>
      <c r="BM66" s="26"/>
      <c r="BN66" s="26"/>
      <c r="BO66" s="27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</row>
    <row r="67" spans="64:88" ht="12" customHeight="1" x14ac:dyDescent="0.35">
      <c r="BL67" s="26"/>
      <c r="BM67" s="26"/>
      <c r="BN67" s="26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7"/>
      <c r="CJ67" s="5"/>
    </row>
    <row r="68" spans="64:88" ht="12" customHeight="1" x14ac:dyDescent="0.35">
      <c r="BL68" s="26"/>
      <c r="BM68" s="26"/>
      <c r="BN68" s="26"/>
      <c r="BO68" s="28"/>
    </row>
    <row r="69" spans="64:88" ht="12" customHeight="1" x14ac:dyDescent="0.35">
      <c r="BL69" s="26"/>
      <c r="BM69" s="26"/>
      <c r="BN69" s="26"/>
      <c r="BO69" s="28"/>
    </row>
    <row r="70" spans="64:88" ht="12" customHeight="1" x14ac:dyDescent="0.35">
      <c r="BL70" s="26"/>
      <c r="BM70" s="26"/>
      <c r="BN70" s="26"/>
      <c r="BO70" s="28"/>
    </row>
    <row r="71" spans="64:88" ht="12" customHeight="1" x14ac:dyDescent="0.35">
      <c r="BL71" s="26"/>
      <c r="BM71" s="26"/>
      <c r="BN71" s="26"/>
      <c r="BO71" s="28"/>
    </row>
    <row r="72" spans="64:88" ht="12" customHeight="1" x14ac:dyDescent="0.35">
      <c r="BL72" s="26"/>
      <c r="BM72" s="26"/>
      <c r="BN72" s="26"/>
      <c r="BO72" s="28"/>
    </row>
    <row r="73" spans="64:88" ht="12" customHeight="1" x14ac:dyDescent="0.35">
      <c r="BL73" s="26"/>
      <c r="BM73" s="26"/>
      <c r="BN73" s="26"/>
      <c r="BO73" s="28"/>
    </row>
    <row r="74" spans="64:88" ht="12" customHeight="1" x14ac:dyDescent="0.35">
      <c r="BL74" s="26"/>
      <c r="BM74" s="26"/>
      <c r="BN74" s="26"/>
      <c r="BO74" s="28"/>
    </row>
    <row r="75" spans="64:88" ht="12" customHeight="1" x14ac:dyDescent="0.35">
      <c r="BL75" s="26"/>
      <c r="BM75" s="26"/>
      <c r="BN75" s="26"/>
      <c r="BO75" s="28"/>
    </row>
    <row r="76" spans="64:88" ht="12" customHeight="1" x14ac:dyDescent="0.35">
      <c r="BL76" s="26"/>
      <c r="BM76" s="26"/>
      <c r="BN76" s="26"/>
      <c r="BO76" s="28"/>
    </row>
    <row r="77" spans="64:88" ht="12" customHeight="1" x14ac:dyDescent="0.35">
      <c r="BL77" s="26"/>
      <c r="BM77" s="26"/>
      <c r="BN77" s="26"/>
      <c r="BO77" s="28"/>
    </row>
    <row r="78" spans="64:88" ht="12" customHeight="1" x14ac:dyDescent="0.35">
      <c r="BL78" s="26"/>
      <c r="BM78" s="26"/>
      <c r="BN78" s="26"/>
      <c r="BO78" s="28"/>
    </row>
    <row r="79" spans="64:88" ht="12" customHeight="1" x14ac:dyDescent="0.35">
      <c r="BL79" s="26"/>
      <c r="BM79" s="26"/>
      <c r="BN79" s="26"/>
      <c r="BO79" s="28"/>
    </row>
    <row r="80" spans="64:88" ht="12" customHeight="1" x14ac:dyDescent="0.35">
      <c r="BL80" s="26"/>
      <c r="BM80" s="26"/>
      <c r="BN80" s="26"/>
      <c r="BO80" s="28"/>
    </row>
    <row r="81" spans="1:70" ht="12" customHeight="1" x14ac:dyDescent="0.35">
      <c r="BL81" s="26"/>
      <c r="BM81" s="26"/>
      <c r="BN81" s="26"/>
      <c r="BO81" s="28"/>
    </row>
    <row r="82" spans="1:70" ht="12" customHeight="1" x14ac:dyDescent="0.35">
      <c r="BL82" s="26"/>
      <c r="BM82" s="26"/>
      <c r="BN82" s="26"/>
      <c r="BO82" s="28"/>
    </row>
    <row r="83" spans="1:70" ht="12" customHeight="1" x14ac:dyDescent="0.35">
      <c r="BL83" s="26"/>
      <c r="BM83" s="26"/>
      <c r="BN83" s="26"/>
      <c r="BO83" s="28"/>
    </row>
    <row r="84" spans="1:70" ht="12" customHeight="1" x14ac:dyDescent="0.35">
      <c r="BL84" s="26"/>
      <c r="BM84" s="26"/>
      <c r="BN84" s="26"/>
      <c r="BO84" s="28"/>
    </row>
    <row r="85" spans="1:70" x14ac:dyDescent="0.35">
      <c r="A85" s="26"/>
      <c r="BM85" s="26"/>
      <c r="BN85" s="26"/>
      <c r="BQ85" s="28"/>
      <c r="BR85" s="28"/>
    </row>
    <row r="86" spans="1:70" x14ac:dyDescent="0.35">
      <c r="D86" s="17"/>
    </row>
    <row r="87" spans="1:70" x14ac:dyDescent="0.35">
      <c r="D87" s="17"/>
    </row>
    <row r="88" spans="1:70" x14ac:dyDescent="0.35">
      <c r="D88" s="17"/>
    </row>
    <row r="89" spans="1:70" x14ac:dyDescent="0.35"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  <c r="AX89" s="17"/>
      <c r="AY89" s="17"/>
      <c r="AZ89" s="17"/>
      <c r="BA89" s="17"/>
      <c r="BB89" s="17"/>
      <c r="BC89" s="17"/>
      <c r="BD89" s="17"/>
      <c r="BE89" s="17"/>
      <c r="BF89" s="17"/>
      <c r="BG89" s="17"/>
      <c r="BH89" s="17"/>
      <c r="BI89" s="17"/>
      <c r="BJ89" s="17"/>
      <c r="BK89" s="17"/>
      <c r="BL89" s="28"/>
    </row>
    <row r="90" spans="1:70" x14ac:dyDescent="0.35"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  <c r="AX90" s="17"/>
      <c r="AY90" s="17"/>
      <c r="AZ90" s="17"/>
      <c r="BA90" s="17"/>
      <c r="BB90" s="17"/>
      <c r="BC90" s="17"/>
      <c r="BD90" s="17"/>
      <c r="BE90" s="17"/>
      <c r="BF90" s="17"/>
      <c r="BG90" s="17"/>
      <c r="BH90" s="17"/>
      <c r="BI90" s="17"/>
      <c r="BJ90" s="17"/>
      <c r="BK90" s="17"/>
      <c r="BL90" s="28"/>
    </row>
    <row r="91" spans="1:70" x14ac:dyDescent="0.35"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  <c r="AX91" s="17"/>
      <c r="AY91" s="17"/>
      <c r="AZ91" s="17"/>
      <c r="BA91" s="17"/>
      <c r="BB91" s="17"/>
      <c r="BC91" s="17"/>
      <c r="BD91" s="17"/>
      <c r="BE91" s="17"/>
      <c r="BF91" s="17"/>
      <c r="BG91" s="17"/>
      <c r="BH91" s="17"/>
      <c r="BI91" s="17"/>
      <c r="BJ91" s="17"/>
      <c r="BK91" s="17"/>
    </row>
    <row r="92" spans="1:70" x14ac:dyDescent="0.35">
      <c r="C92" s="17"/>
      <c r="D92" s="17"/>
    </row>
    <row r="93" spans="1:70" x14ac:dyDescent="0.35">
      <c r="C93" s="17"/>
      <c r="BL93" s="17"/>
      <c r="BO93" s="26"/>
    </row>
    <row r="94" spans="1:70" x14ac:dyDescent="0.35">
      <c r="C94" s="17"/>
      <c r="BL94" s="17"/>
      <c r="BO94" s="26"/>
    </row>
    <row r="95" spans="1:70" x14ac:dyDescent="0.35">
      <c r="C95" s="17"/>
      <c r="BL95" s="17"/>
      <c r="BO95" s="26"/>
    </row>
    <row r="96" spans="1:70" x14ac:dyDescent="0.35">
      <c r="C96" s="17"/>
      <c r="BL96" s="17"/>
      <c r="BO96" s="26"/>
    </row>
    <row r="97" spans="3:67" x14ac:dyDescent="0.35">
      <c r="C97" s="17"/>
      <c r="BL97" s="17"/>
      <c r="BO97" s="26"/>
    </row>
    <row r="98" spans="3:67" x14ac:dyDescent="0.35">
      <c r="C98" s="17"/>
      <c r="BL98" s="17"/>
      <c r="BO98" s="26"/>
    </row>
    <row r="99" spans="3:67" x14ac:dyDescent="0.35">
      <c r="C99" s="17"/>
      <c r="BL99" s="17"/>
      <c r="BO99" s="26"/>
    </row>
    <row r="100" spans="3:67" x14ac:dyDescent="0.35">
      <c r="C100" s="17"/>
      <c r="BL100" s="17"/>
      <c r="BO100" s="26"/>
    </row>
    <row r="101" spans="3:67" x14ac:dyDescent="0.35">
      <c r="C101" s="17"/>
      <c r="BL101" s="17"/>
      <c r="BO101" s="26"/>
    </row>
    <row r="102" spans="3:67" x14ac:dyDescent="0.35">
      <c r="C102" s="17"/>
      <c r="BL102" s="17"/>
      <c r="BO102" s="26"/>
    </row>
    <row r="103" spans="3:67" x14ac:dyDescent="0.35">
      <c r="C103" s="17"/>
      <c r="BL103" s="17"/>
      <c r="BO103" s="26"/>
    </row>
    <row r="104" spans="3:67" x14ac:dyDescent="0.35">
      <c r="C104" s="17"/>
      <c r="BL104" s="17"/>
      <c r="BO104" s="26"/>
    </row>
    <row r="105" spans="3:67" x14ac:dyDescent="0.35">
      <c r="C105" s="17"/>
      <c r="BL105" s="17"/>
      <c r="BO105" s="26"/>
    </row>
    <row r="106" spans="3:67" x14ac:dyDescent="0.35">
      <c r="C106" s="17"/>
      <c r="BL106" s="17"/>
      <c r="BO106" s="26"/>
    </row>
    <row r="107" spans="3:67" x14ac:dyDescent="0.35">
      <c r="C107" s="17"/>
      <c r="BL107" s="17"/>
      <c r="BO107" s="26"/>
    </row>
    <row r="108" spans="3:67" x14ac:dyDescent="0.35">
      <c r="C108" s="17"/>
      <c r="BL108" s="17"/>
      <c r="BO108" s="26"/>
    </row>
    <row r="109" spans="3:67" x14ac:dyDescent="0.35">
      <c r="C109" s="17"/>
      <c r="BL109" s="17"/>
      <c r="BO109" s="26"/>
    </row>
    <row r="110" spans="3:67" x14ac:dyDescent="0.35">
      <c r="BL110" s="17"/>
      <c r="BO110" s="26"/>
    </row>
    <row r="111" spans="3:67" x14ac:dyDescent="0.35">
      <c r="BL111" s="17"/>
      <c r="BO111" s="26"/>
    </row>
    <row r="112" spans="3:67" x14ac:dyDescent="0.35">
      <c r="BL112" s="17"/>
      <c r="BO112" s="26"/>
    </row>
    <row r="113" spans="23:64" x14ac:dyDescent="0.35"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17"/>
    </row>
    <row r="155" spans="65:65" x14ac:dyDescent="0.35">
      <c r="BM155" s="29"/>
    </row>
  </sheetData>
  <phoneticPr fontId="0" type="noConversion"/>
  <conditionalFormatting sqref="BM65:BN84">
    <cfRule type="cellIs" dxfId="1" priority="1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AB0EC-B310-4BA9-A41D-5E6771FFBF4C}">
  <dimension ref="A1:BG46"/>
  <sheetViews>
    <sheetView showZeros="0" workbookViewId="0">
      <selection activeCell="U27" sqref="U27"/>
    </sheetView>
  </sheetViews>
  <sheetFormatPr defaultRowHeight="12.5" x14ac:dyDescent="0.25"/>
  <cols>
    <col min="1" max="1" width="5.81640625" bestFit="1" customWidth="1"/>
    <col min="2" max="2" width="5.1796875" customWidth="1"/>
    <col min="3" max="3" width="8.81640625" customWidth="1"/>
    <col min="4" max="4" width="7.54296875" customWidth="1"/>
    <col min="5" max="25" width="3.81640625" customWidth="1"/>
    <col min="26" max="26" width="1.6328125" customWidth="1"/>
    <col min="27" max="32" width="1.6328125" hidden="1" customWidth="1"/>
    <col min="33" max="33" width="1.6328125" customWidth="1"/>
    <col min="34" max="34" width="3.81640625" customWidth="1"/>
    <col min="35" max="35" width="8.36328125" bestFit="1" customWidth="1"/>
    <col min="36" max="36" width="9.6328125" bestFit="1" customWidth="1"/>
    <col min="37" max="37" width="9.36328125" bestFit="1" customWidth="1"/>
    <col min="38" max="59" width="3.81640625" customWidth="1"/>
    <col min="60" max="68" width="5.26953125" customWidth="1"/>
    <col min="69" max="77" width="5" bestFit="1" customWidth="1"/>
    <col min="257" max="257" width="5.81640625" bestFit="1" customWidth="1"/>
    <col min="258" max="258" width="5.1796875" customWidth="1"/>
    <col min="259" max="259" width="8.81640625" customWidth="1"/>
    <col min="260" max="260" width="7.54296875" customWidth="1"/>
    <col min="261" max="281" width="3.81640625" customWidth="1"/>
    <col min="282" max="282" width="1.6328125" customWidth="1"/>
    <col min="283" max="288" width="0" hidden="1" customWidth="1"/>
    <col min="289" max="289" width="1.6328125" customWidth="1"/>
    <col min="290" max="290" width="3.81640625" customWidth="1"/>
    <col min="291" max="291" width="8.36328125" bestFit="1" customWidth="1"/>
    <col min="292" max="292" width="9.6328125" bestFit="1" customWidth="1"/>
    <col min="293" max="293" width="9.36328125" bestFit="1" customWidth="1"/>
    <col min="294" max="315" width="3.81640625" customWidth="1"/>
    <col min="316" max="324" width="5.26953125" customWidth="1"/>
    <col min="325" max="333" width="5" bestFit="1" customWidth="1"/>
    <col min="513" max="513" width="5.81640625" bestFit="1" customWidth="1"/>
    <col min="514" max="514" width="5.1796875" customWidth="1"/>
    <col min="515" max="515" width="8.81640625" customWidth="1"/>
    <col min="516" max="516" width="7.54296875" customWidth="1"/>
    <col min="517" max="537" width="3.81640625" customWidth="1"/>
    <col min="538" max="538" width="1.6328125" customWidth="1"/>
    <col min="539" max="544" width="0" hidden="1" customWidth="1"/>
    <col min="545" max="545" width="1.6328125" customWidth="1"/>
    <col min="546" max="546" width="3.81640625" customWidth="1"/>
    <col min="547" max="547" width="8.36328125" bestFit="1" customWidth="1"/>
    <col min="548" max="548" width="9.6328125" bestFit="1" customWidth="1"/>
    <col min="549" max="549" width="9.36328125" bestFit="1" customWidth="1"/>
    <col min="550" max="571" width="3.81640625" customWidth="1"/>
    <col min="572" max="580" width="5.26953125" customWidth="1"/>
    <col min="581" max="589" width="5" bestFit="1" customWidth="1"/>
    <col min="769" max="769" width="5.81640625" bestFit="1" customWidth="1"/>
    <col min="770" max="770" width="5.1796875" customWidth="1"/>
    <col min="771" max="771" width="8.81640625" customWidth="1"/>
    <col min="772" max="772" width="7.54296875" customWidth="1"/>
    <col min="773" max="793" width="3.81640625" customWidth="1"/>
    <col min="794" max="794" width="1.6328125" customWidth="1"/>
    <col min="795" max="800" width="0" hidden="1" customWidth="1"/>
    <col min="801" max="801" width="1.6328125" customWidth="1"/>
    <col min="802" max="802" width="3.81640625" customWidth="1"/>
    <col min="803" max="803" width="8.36328125" bestFit="1" customWidth="1"/>
    <col min="804" max="804" width="9.6328125" bestFit="1" customWidth="1"/>
    <col min="805" max="805" width="9.36328125" bestFit="1" customWidth="1"/>
    <col min="806" max="827" width="3.81640625" customWidth="1"/>
    <col min="828" max="836" width="5.26953125" customWidth="1"/>
    <col min="837" max="845" width="5" bestFit="1" customWidth="1"/>
    <col min="1025" max="1025" width="5.81640625" bestFit="1" customWidth="1"/>
    <col min="1026" max="1026" width="5.1796875" customWidth="1"/>
    <col min="1027" max="1027" width="8.81640625" customWidth="1"/>
    <col min="1028" max="1028" width="7.54296875" customWidth="1"/>
    <col min="1029" max="1049" width="3.81640625" customWidth="1"/>
    <col min="1050" max="1050" width="1.6328125" customWidth="1"/>
    <col min="1051" max="1056" width="0" hidden="1" customWidth="1"/>
    <col min="1057" max="1057" width="1.6328125" customWidth="1"/>
    <col min="1058" max="1058" width="3.81640625" customWidth="1"/>
    <col min="1059" max="1059" width="8.36328125" bestFit="1" customWidth="1"/>
    <col min="1060" max="1060" width="9.6328125" bestFit="1" customWidth="1"/>
    <col min="1061" max="1061" width="9.36328125" bestFit="1" customWidth="1"/>
    <col min="1062" max="1083" width="3.81640625" customWidth="1"/>
    <col min="1084" max="1092" width="5.26953125" customWidth="1"/>
    <col min="1093" max="1101" width="5" bestFit="1" customWidth="1"/>
    <col min="1281" max="1281" width="5.81640625" bestFit="1" customWidth="1"/>
    <col min="1282" max="1282" width="5.1796875" customWidth="1"/>
    <col min="1283" max="1283" width="8.81640625" customWidth="1"/>
    <col min="1284" max="1284" width="7.54296875" customWidth="1"/>
    <col min="1285" max="1305" width="3.81640625" customWidth="1"/>
    <col min="1306" max="1306" width="1.6328125" customWidth="1"/>
    <col min="1307" max="1312" width="0" hidden="1" customWidth="1"/>
    <col min="1313" max="1313" width="1.6328125" customWidth="1"/>
    <col min="1314" max="1314" width="3.81640625" customWidth="1"/>
    <col min="1315" max="1315" width="8.36328125" bestFit="1" customWidth="1"/>
    <col min="1316" max="1316" width="9.6328125" bestFit="1" customWidth="1"/>
    <col min="1317" max="1317" width="9.36328125" bestFit="1" customWidth="1"/>
    <col min="1318" max="1339" width="3.81640625" customWidth="1"/>
    <col min="1340" max="1348" width="5.26953125" customWidth="1"/>
    <col min="1349" max="1357" width="5" bestFit="1" customWidth="1"/>
    <col min="1537" max="1537" width="5.81640625" bestFit="1" customWidth="1"/>
    <col min="1538" max="1538" width="5.1796875" customWidth="1"/>
    <col min="1539" max="1539" width="8.81640625" customWidth="1"/>
    <col min="1540" max="1540" width="7.54296875" customWidth="1"/>
    <col min="1541" max="1561" width="3.81640625" customWidth="1"/>
    <col min="1562" max="1562" width="1.6328125" customWidth="1"/>
    <col min="1563" max="1568" width="0" hidden="1" customWidth="1"/>
    <col min="1569" max="1569" width="1.6328125" customWidth="1"/>
    <col min="1570" max="1570" width="3.81640625" customWidth="1"/>
    <col min="1571" max="1571" width="8.36328125" bestFit="1" customWidth="1"/>
    <col min="1572" max="1572" width="9.6328125" bestFit="1" customWidth="1"/>
    <col min="1573" max="1573" width="9.36328125" bestFit="1" customWidth="1"/>
    <col min="1574" max="1595" width="3.81640625" customWidth="1"/>
    <col min="1596" max="1604" width="5.26953125" customWidth="1"/>
    <col min="1605" max="1613" width="5" bestFit="1" customWidth="1"/>
    <col min="1793" max="1793" width="5.81640625" bestFit="1" customWidth="1"/>
    <col min="1794" max="1794" width="5.1796875" customWidth="1"/>
    <col min="1795" max="1795" width="8.81640625" customWidth="1"/>
    <col min="1796" max="1796" width="7.54296875" customWidth="1"/>
    <col min="1797" max="1817" width="3.81640625" customWidth="1"/>
    <col min="1818" max="1818" width="1.6328125" customWidth="1"/>
    <col min="1819" max="1824" width="0" hidden="1" customWidth="1"/>
    <col min="1825" max="1825" width="1.6328125" customWidth="1"/>
    <col min="1826" max="1826" width="3.81640625" customWidth="1"/>
    <col min="1827" max="1827" width="8.36328125" bestFit="1" customWidth="1"/>
    <col min="1828" max="1828" width="9.6328125" bestFit="1" customWidth="1"/>
    <col min="1829" max="1829" width="9.36328125" bestFit="1" customWidth="1"/>
    <col min="1830" max="1851" width="3.81640625" customWidth="1"/>
    <col min="1852" max="1860" width="5.26953125" customWidth="1"/>
    <col min="1861" max="1869" width="5" bestFit="1" customWidth="1"/>
    <col min="2049" max="2049" width="5.81640625" bestFit="1" customWidth="1"/>
    <col min="2050" max="2050" width="5.1796875" customWidth="1"/>
    <col min="2051" max="2051" width="8.81640625" customWidth="1"/>
    <col min="2052" max="2052" width="7.54296875" customWidth="1"/>
    <col min="2053" max="2073" width="3.81640625" customWidth="1"/>
    <col min="2074" max="2074" width="1.6328125" customWidth="1"/>
    <col min="2075" max="2080" width="0" hidden="1" customWidth="1"/>
    <col min="2081" max="2081" width="1.6328125" customWidth="1"/>
    <col min="2082" max="2082" width="3.81640625" customWidth="1"/>
    <col min="2083" max="2083" width="8.36328125" bestFit="1" customWidth="1"/>
    <col min="2084" max="2084" width="9.6328125" bestFit="1" customWidth="1"/>
    <col min="2085" max="2085" width="9.36328125" bestFit="1" customWidth="1"/>
    <col min="2086" max="2107" width="3.81640625" customWidth="1"/>
    <col min="2108" max="2116" width="5.26953125" customWidth="1"/>
    <col min="2117" max="2125" width="5" bestFit="1" customWidth="1"/>
    <col min="2305" max="2305" width="5.81640625" bestFit="1" customWidth="1"/>
    <col min="2306" max="2306" width="5.1796875" customWidth="1"/>
    <col min="2307" max="2307" width="8.81640625" customWidth="1"/>
    <col min="2308" max="2308" width="7.54296875" customWidth="1"/>
    <col min="2309" max="2329" width="3.81640625" customWidth="1"/>
    <col min="2330" max="2330" width="1.6328125" customWidth="1"/>
    <col min="2331" max="2336" width="0" hidden="1" customWidth="1"/>
    <col min="2337" max="2337" width="1.6328125" customWidth="1"/>
    <col min="2338" max="2338" width="3.81640625" customWidth="1"/>
    <col min="2339" max="2339" width="8.36328125" bestFit="1" customWidth="1"/>
    <col min="2340" max="2340" width="9.6328125" bestFit="1" customWidth="1"/>
    <col min="2341" max="2341" width="9.36328125" bestFit="1" customWidth="1"/>
    <col min="2342" max="2363" width="3.81640625" customWidth="1"/>
    <col min="2364" max="2372" width="5.26953125" customWidth="1"/>
    <col min="2373" max="2381" width="5" bestFit="1" customWidth="1"/>
    <col min="2561" max="2561" width="5.81640625" bestFit="1" customWidth="1"/>
    <col min="2562" max="2562" width="5.1796875" customWidth="1"/>
    <col min="2563" max="2563" width="8.81640625" customWidth="1"/>
    <col min="2564" max="2564" width="7.54296875" customWidth="1"/>
    <col min="2565" max="2585" width="3.81640625" customWidth="1"/>
    <col min="2586" max="2586" width="1.6328125" customWidth="1"/>
    <col min="2587" max="2592" width="0" hidden="1" customWidth="1"/>
    <col min="2593" max="2593" width="1.6328125" customWidth="1"/>
    <col min="2594" max="2594" width="3.81640625" customWidth="1"/>
    <col min="2595" max="2595" width="8.36328125" bestFit="1" customWidth="1"/>
    <col min="2596" max="2596" width="9.6328125" bestFit="1" customWidth="1"/>
    <col min="2597" max="2597" width="9.36328125" bestFit="1" customWidth="1"/>
    <col min="2598" max="2619" width="3.81640625" customWidth="1"/>
    <col min="2620" max="2628" width="5.26953125" customWidth="1"/>
    <col min="2629" max="2637" width="5" bestFit="1" customWidth="1"/>
    <col min="2817" max="2817" width="5.81640625" bestFit="1" customWidth="1"/>
    <col min="2818" max="2818" width="5.1796875" customWidth="1"/>
    <col min="2819" max="2819" width="8.81640625" customWidth="1"/>
    <col min="2820" max="2820" width="7.54296875" customWidth="1"/>
    <col min="2821" max="2841" width="3.81640625" customWidth="1"/>
    <col min="2842" max="2842" width="1.6328125" customWidth="1"/>
    <col min="2843" max="2848" width="0" hidden="1" customWidth="1"/>
    <col min="2849" max="2849" width="1.6328125" customWidth="1"/>
    <col min="2850" max="2850" width="3.81640625" customWidth="1"/>
    <col min="2851" max="2851" width="8.36328125" bestFit="1" customWidth="1"/>
    <col min="2852" max="2852" width="9.6328125" bestFit="1" customWidth="1"/>
    <col min="2853" max="2853" width="9.36328125" bestFit="1" customWidth="1"/>
    <col min="2854" max="2875" width="3.81640625" customWidth="1"/>
    <col min="2876" max="2884" width="5.26953125" customWidth="1"/>
    <col min="2885" max="2893" width="5" bestFit="1" customWidth="1"/>
    <col min="3073" max="3073" width="5.81640625" bestFit="1" customWidth="1"/>
    <col min="3074" max="3074" width="5.1796875" customWidth="1"/>
    <col min="3075" max="3075" width="8.81640625" customWidth="1"/>
    <col min="3076" max="3076" width="7.54296875" customWidth="1"/>
    <col min="3077" max="3097" width="3.81640625" customWidth="1"/>
    <col min="3098" max="3098" width="1.6328125" customWidth="1"/>
    <col min="3099" max="3104" width="0" hidden="1" customWidth="1"/>
    <col min="3105" max="3105" width="1.6328125" customWidth="1"/>
    <col min="3106" max="3106" width="3.81640625" customWidth="1"/>
    <col min="3107" max="3107" width="8.36328125" bestFit="1" customWidth="1"/>
    <col min="3108" max="3108" width="9.6328125" bestFit="1" customWidth="1"/>
    <col min="3109" max="3109" width="9.36328125" bestFit="1" customWidth="1"/>
    <col min="3110" max="3131" width="3.81640625" customWidth="1"/>
    <col min="3132" max="3140" width="5.26953125" customWidth="1"/>
    <col min="3141" max="3149" width="5" bestFit="1" customWidth="1"/>
    <col min="3329" max="3329" width="5.81640625" bestFit="1" customWidth="1"/>
    <col min="3330" max="3330" width="5.1796875" customWidth="1"/>
    <col min="3331" max="3331" width="8.81640625" customWidth="1"/>
    <col min="3332" max="3332" width="7.54296875" customWidth="1"/>
    <col min="3333" max="3353" width="3.81640625" customWidth="1"/>
    <col min="3354" max="3354" width="1.6328125" customWidth="1"/>
    <col min="3355" max="3360" width="0" hidden="1" customWidth="1"/>
    <col min="3361" max="3361" width="1.6328125" customWidth="1"/>
    <col min="3362" max="3362" width="3.81640625" customWidth="1"/>
    <col min="3363" max="3363" width="8.36328125" bestFit="1" customWidth="1"/>
    <col min="3364" max="3364" width="9.6328125" bestFit="1" customWidth="1"/>
    <col min="3365" max="3365" width="9.36328125" bestFit="1" customWidth="1"/>
    <col min="3366" max="3387" width="3.81640625" customWidth="1"/>
    <col min="3388" max="3396" width="5.26953125" customWidth="1"/>
    <col min="3397" max="3405" width="5" bestFit="1" customWidth="1"/>
    <col min="3585" max="3585" width="5.81640625" bestFit="1" customWidth="1"/>
    <col min="3586" max="3586" width="5.1796875" customWidth="1"/>
    <col min="3587" max="3587" width="8.81640625" customWidth="1"/>
    <col min="3588" max="3588" width="7.54296875" customWidth="1"/>
    <col min="3589" max="3609" width="3.81640625" customWidth="1"/>
    <col min="3610" max="3610" width="1.6328125" customWidth="1"/>
    <col min="3611" max="3616" width="0" hidden="1" customWidth="1"/>
    <col min="3617" max="3617" width="1.6328125" customWidth="1"/>
    <col min="3618" max="3618" width="3.81640625" customWidth="1"/>
    <col min="3619" max="3619" width="8.36328125" bestFit="1" customWidth="1"/>
    <col min="3620" max="3620" width="9.6328125" bestFit="1" customWidth="1"/>
    <col min="3621" max="3621" width="9.36328125" bestFit="1" customWidth="1"/>
    <col min="3622" max="3643" width="3.81640625" customWidth="1"/>
    <col min="3644" max="3652" width="5.26953125" customWidth="1"/>
    <col min="3653" max="3661" width="5" bestFit="1" customWidth="1"/>
    <col min="3841" max="3841" width="5.81640625" bestFit="1" customWidth="1"/>
    <col min="3842" max="3842" width="5.1796875" customWidth="1"/>
    <col min="3843" max="3843" width="8.81640625" customWidth="1"/>
    <col min="3844" max="3844" width="7.54296875" customWidth="1"/>
    <col min="3845" max="3865" width="3.81640625" customWidth="1"/>
    <col min="3866" max="3866" width="1.6328125" customWidth="1"/>
    <col min="3867" max="3872" width="0" hidden="1" customWidth="1"/>
    <col min="3873" max="3873" width="1.6328125" customWidth="1"/>
    <col min="3874" max="3874" width="3.81640625" customWidth="1"/>
    <col min="3875" max="3875" width="8.36328125" bestFit="1" customWidth="1"/>
    <col min="3876" max="3876" width="9.6328125" bestFit="1" customWidth="1"/>
    <col min="3877" max="3877" width="9.36328125" bestFit="1" customWidth="1"/>
    <col min="3878" max="3899" width="3.81640625" customWidth="1"/>
    <col min="3900" max="3908" width="5.26953125" customWidth="1"/>
    <col min="3909" max="3917" width="5" bestFit="1" customWidth="1"/>
    <col min="4097" max="4097" width="5.81640625" bestFit="1" customWidth="1"/>
    <col min="4098" max="4098" width="5.1796875" customWidth="1"/>
    <col min="4099" max="4099" width="8.81640625" customWidth="1"/>
    <col min="4100" max="4100" width="7.54296875" customWidth="1"/>
    <col min="4101" max="4121" width="3.81640625" customWidth="1"/>
    <col min="4122" max="4122" width="1.6328125" customWidth="1"/>
    <col min="4123" max="4128" width="0" hidden="1" customWidth="1"/>
    <col min="4129" max="4129" width="1.6328125" customWidth="1"/>
    <col min="4130" max="4130" width="3.81640625" customWidth="1"/>
    <col min="4131" max="4131" width="8.36328125" bestFit="1" customWidth="1"/>
    <col min="4132" max="4132" width="9.6328125" bestFit="1" customWidth="1"/>
    <col min="4133" max="4133" width="9.36328125" bestFit="1" customWidth="1"/>
    <col min="4134" max="4155" width="3.81640625" customWidth="1"/>
    <col min="4156" max="4164" width="5.26953125" customWidth="1"/>
    <col min="4165" max="4173" width="5" bestFit="1" customWidth="1"/>
    <col min="4353" max="4353" width="5.81640625" bestFit="1" customWidth="1"/>
    <col min="4354" max="4354" width="5.1796875" customWidth="1"/>
    <col min="4355" max="4355" width="8.81640625" customWidth="1"/>
    <col min="4356" max="4356" width="7.54296875" customWidth="1"/>
    <col min="4357" max="4377" width="3.81640625" customWidth="1"/>
    <col min="4378" max="4378" width="1.6328125" customWidth="1"/>
    <col min="4379" max="4384" width="0" hidden="1" customWidth="1"/>
    <col min="4385" max="4385" width="1.6328125" customWidth="1"/>
    <col min="4386" max="4386" width="3.81640625" customWidth="1"/>
    <col min="4387" max="4387" width="8.36328125" bestFit="1" customWidth="1"/>
    <col min="4388" max="4388" width="9.6328125" bestFit="1" customWidth="1"/>
    <col min="4389" max="4389" width="9.36328125" bestFit="1" customWidth="1"/>
    <col min="4390" max="4411" width="3.81640625" customWidth="1"/>
    <col min="4412" max="4420" width="5.26953125" customWidth="1"/>
    <col min="4421" max="4429" width="5" bestFit="1" customWidth="1"/>
    <col min="4609" max="4609" width="5.81640625" bestFit="1" customWidth="1"/>
    <col min="4610" max="4610" width="5.1796875" customWidth="1"/>
    <col min="4611" max="4611" width="8.81640625" customWidth="1"/>
    <col min="4612" max="4612" width="7.54296875" customWidth="1"/>
    <col min="4613" max="4633" width="3.81640625" customWidth="1"/>
    <col min="4634" max="4634" width="1.6328125" customWidth="1"/>
    <col min="4635" max="4640" width="0" hidden="1" customWidth="1"/>
    <col min="4641" max="4641" width="1.6328125" customWidth="1"/>
    <col min="4642" max="4642" width="3.81640625" customWidth="1"/>
    <col min="4643" max="4643" width="8.36328125" bestFit="1" customWidth="1"/>
    <col min="4644" max="4644" width="9.6328125" bestFit="1" customWidth="1"/>
    <col min="4645" max="4645" width="9.36328125" bestFit="1" customWidth="1"/>
    <col min="4646" max="4667" width="3.81640625" customWidth="1"/>
    <col min="4668" max="4676" width="5.26953125" customWidth="1"/>
    <col min="4677" max="4685" width="5" bestFit="1" customWidth="1"/>
    <col min="4865" max="4865" width="5.81640625" bestFit="1" customWidth="1"/>
    <col min="4866" max="4866" width="5.1796875" customWidth="1"/>
    <col min="4867" max="4867" width="8.81640625" customWidth="1"/>
    <col min="4868" max="4868" width="7.54296875" customWidth="1"/>
    <col min="4869" max="4889" width="3.81640625" customWidth="1"/>
    <col min="4890" max="4890" width="1.6328125" customWidth="1"/>
    <col min="4891" max="4896" width="0" hidden="1" customWidth="1"/>
    <col min="4897" max="4897" width="1.6328125" customWidth="1"/>
    <col min="4898" max="4898" width="3.81640625" customWidth="1"/>
    <col min="4899" max="4899" width="8.36328125" bestFit="1" customWidth="1"/>
    <col min="4900" max="4900" width="9.6328125" bestFit="1" customWidth="1"/>
    <col min="4901" max="4901" width="9.36328125" bestFit="1" customWidth="1"/>
    <col min="4902" max="4923" width="3.81640625" customWidth="1"/>
    <col min="4924" max="4932" width="5.26953125" customWidth="1"/>
    <col min="4933" max="4941" width="5" bestFit="1" customWidth="1"/>
    <col min="5121" max="5121" width="5.81640625" bestFit="1" customWidth="1"/>
    <col min="5122" max="5122" width="5.1796875" customWidth="1"/>
    <col min="5123" max="5123" width="8.81640625" customWidth="1"/>
    <col min="5124" max="5124" width="7.54296875" customWidth="1"/>
    <col min="5125" max="5145" width="3.81640625" customWidth="1"/>
    <col min="5146" max="5146" width="1.6328125" customWidth="1"/>
    <col min="5147" max="5152" width="0" hidden="1" customWidth="1"/>
    <col min="5153" max="5153" width="1.6328125" customWidth="1"/>
    <col min="5154" max="5154" width="3.81640625" customWidth="1"/>
    <col min="5155" max="5155" width="8.36328125" bestFit="1" customWidth="1"/>
    <col min="5156" max="5156" width="9.6328125" bestFit="1" customWidth="1"/>
    <col min="5157" max="5157" width="9.36328125" bestFit="1" customWidth="1"/>
    <col min="5158" max="5179" width="3.81640625" customWidth="1"/>
    <col min="5180" max="5188" width="5.26953125" customWidth="1"/>
    <col min="5189" max="5197" width="5" bestFit="1" customWidth="1"/>
    <col min="5377" max="5377" width="5.81640625" bestFit="1" customWidth="1"/>
    <col min="5378" max="5378" width="5.1796875" customWidth="1"/>
    <col min="5379" max="5379" width="8.81640625" customWidth="1"/>
    <col min="5380" max="5380" width="7.54296875" customWidth="1"/>
    <col min="5381" max="5401" width="3.81640625" customWidth="1"/>
    <col min="5402" max="5402" width="1.6328125" customWidth="1"/>
    <col min="5403" max="5408" width="0" hidden="1" customWidth="1"/>
    <col min="5409" max="5409" width="1.6328125" customWidth="1"/>
    <col min="5410" max="5410" width="3.81640625" customWidth="1"/>
    <col min="5411" max="5411" width="8.36328125" bestFit="1" customWidth="1"/>
    <col min="5412" max="5412" width="9.6328125" bestFit="1" customWidth="1"/>
    <col min="5413" max="5413" width="9.36328125" bestFit="1" customWidth="1"/>
    <col min="5414" max="5435" width="3.81640625" customWidth="1"/>
    <col min="5436" max="5444" width="5.26953125" customWidth="1"/>
    <col min="5445" max="5453" width="5" bestFit="1" customWidth="1"/>
    <col min="5633" max="5633" width="5.81640625" bestFit="1" customWidth="1"/>
    <col min="5634" max="5634" width="5.1796875" customWidth="1"/>
    <col min="5635" max="5635" width="8.81640625" customWidth="1"/>
    <col min="5636" max="5636" width="7.54296875" customWidth="1"/>
    <col min="5637" max="5657" width="3.81640625" customWidth="1"/>
    <col min="5658" max="5658" width="1.6328125" customWidth="1"/>
    <col min="5659" max="5664" width="0" hidden="1" customWidth="1"/>
    <col min="5665" max="5665" width="1.6328125" customWidth="1"/>
    <col min="5666" max="5666" width="3.81640625" customWidth="1"/>
    <col min="5667" max="5667" width="8.36328125" bestFit="1" customWidth="1"/>
    <col min="5668" max="5668" width="9.6328125" bestFit="1" customWidth="1"/>
    <col min="5669" max="5669" width="9.36328125" bestFit="1" customWidth="1"/>
    <col min="5670" max="5691" width="3.81640625" customWidth="1"/>
    <col min="5692" max="5700" width="5.26953125" customWidth="1"/>
    <col min="5701" max="5709" width="5" bestFit="1" customWidth="1"/>
    <col min="5889" max="5889" width="5.81640625" bestFit="1" customWidth="1"/>
    <col min="5890" max="5890" width="5.1796875" customWidth="1"/>
    <col min="5891" max="5891" width="8.81640625" customWidth="1"/>
    <col min="5892" max="5892" width="7.54296875" customWidth="1"/>
    <col min="5893" max="5913" width="3.81640625" customWidth="1"/>
    <col min="5914" max="5914" width="1.6328125" customWidth="1"/>
    <col min="5915" max="5920" width="0" hidden="1" customWidth="1"/>
    <col min="5921" max="5921" width="1.6328125" customWidth="1"/>
    <col min="5922" max="5922" width="3.81640625" customWidth="1"/>
    <col min="5923" max="5923" width="8.36328125" bestFit="1" customWidth="1"/>
    <col min="5924" max="5924" width="9.6328125" bestFit="1" customWidth="1"/>
    <col min="5925" max="5925" width="9.36328125" bestFit="1" customWidth="1"/>
    <col min="5926" max="5947" width="3.81640625" customWidth="1"/>
    <col min="5948" max="5956" width="5.26953125" customWidth="1"/>
    <col min="5957" max="5965" width="5" bestFit="1" customWidth="1"/>
    <col min="6145" max="6145" width="5.81640625" bestFit="1" customWidth="1"/>
    <col min="6146" max="6146" width="5.1796875" customWidth="1"/>
    <col min="6147" max="6147" width="8.81640625" customWidth="1"/>
    <col min="6148" max="6148" width="7.54296875" customWidth="1"/>
    <col min="6149" max="6169" width="3.81640625" customWidth="1"/>
    <col min="6170" max="6170" width="1.6328125" customWidth="1"/>
    <col min="6171" max="6176" width="0" hidden="1" customWidth="1"/>
    <col min="6177" max="6177" width="1.6328125" customWidth="1"/>
    <col min="6178" max="6178" width="3.81640625" customWidth="1"/>
    <col min="6179" max="6179" width="8.36328125" bestFit="1" customWidth="1"/>
    <col min="6180" max="6180" width="9.6328125" bestFit="1" customWidth="1"/>
    <col min="6181" max="6181" width="9.36328125" bestFit="1" customWidth="1"/>
    <col min="6182" max="6203" width="3.81640625" customWidth="1"/>
    <col min="6204" max="6212" width="5.26953125" customWidth="1"/>
    <col min="6213" max="6221" width="5" bestFit="1" customWidth="1"/>
    <col min="6401" max="6401" width="5.81640625" bestFit="1" customWidth="1"/>
    <col min="6402" max="6402" width="5.1796875" customWidth="1"/>
    <col min="6403" max="6403" width="8.81640625" customWidth="1"/>
    <col min="6404" max="6404" width="7.54296875" customWidth="1"/>
    <col min="6405" max="6425" width="3.81640625" customWidth="1"/>
    <col min="6426" max="6426" width="1.6328125" customWidth="1"/>
    <col min="6427" max="6432" width="0" hidden="1" customWidth="1"/>
    <col min="6433" max="6433" width="1.6328125" customWidth="1"/>
    <col min="6434" max="6434" width="3.81640625" customWidth="1"/>
    <col min="6435" max="6435" width="8.36328125" bestFit="1" customWidth="1"/>
    <col min="6436" max="6436" width="9.6328125" bestFit="1" customWidth="1"/>
    <col min="6437" max="6437" width="9.36328125" bestFit="1" customWidth="1"/>
    <col min="6438" max="6459" width="3.81640625" customWidth="1"/>
    <col min="6460" max="6468" width="5.26953125" customWidth="1"/>
    <col min="6469" max="6477" width="5" bestFit="1" customWidth="1"/>
    <col min="6657" max="6657" width="5.81640625" bestFit="1" customWidth="1"/>
    <col min="6658" max="6658" width="5.1796875" customWidth="1"/>
    <col min="6659" max="6659" width="8.81640625" customWidth="1"/>
    <col min="6660" max="6660" width="7.54296875" customWidth="1"/>
    <col min="6661" max="6681" width="3.81640625" customWidth="1"/>
    <col min="6682" max="6682" width="1.6328125" customWidth="1"/>
    <col min="6683" max="6688" width="0" hidden="1" customWidth="1"/>
    <col min="6689" max="6689" width="1.6328125" customWidth="1"/>
    <col min="6690" max="6690" width="3.81640625" customWidth="1"/>
    <col min="6691" max="6691" width="8.36328125" bestFit="1" customWidth="1"/>
    <col min="6692" max="6692" width="9.6328125" bestFit="1" customWidth="1"/>
    <col min="6693" max="6693" width="9.36328125" bestFit="1" customWidth="1"/>
    <col min="6694" max="6715" width="3.81640625" customWidth="1"/>
    <col min="6716" max="6724" width="5.26953125" customWidth="1"/>
    <col min="6725" max="6733" width="5" bestFit="1" customWidth="1"/>
    <col min="6913" max="6913" width="5.81640625" bestFit="1" customWidth="1"/>
    <col min="6914" max="6914" width="5.1796875" customWidth="1"/>
    <col min="6915" max="6915" width="8.81640625" customWidth="1"/>
    <col min="6916" max="6916" width="7.54296875" customWidth="1"/>
    <col min="6917" max="6937" width="3.81640625" customWidth="1"/>
    <col min="6938" max="6938" width="1.6328125" customWidth="1"/>
    <col min="6939" max="6944" width="0" hidden="1" customWidth="1"/>
    <col min="6945" max="6945" width="1.6328125" customWidth="1"/>
    <col min="6946" max="6946" width="3.81640625" customWidth="1"/>
    <col min="6947" max="6947" width="8.36328125" bestFit="1" customWidth="1"/>
    <col min="6948" max="6948" width="9.6328125" bestFit="1" customWidth="1"/>
    <col min="6949" max="6949" width="9.36328125" bestFit="1" customWidth="1"/>
    <col min="6950" max="6971" width="3.81640625" customWidth="1"/>
    <col min="6972" max="6980" width="5.26953125" customWidth="1"/>
    <col min="6981" max="6989" width="5" bestFit="1" customWidth="1"/>
    <col min="7169" max="7169" width="5.81640625" bestFit="1" customWidth="1"/>
    <col min="7170" max="7170" width="5.1796875" customWidth="1"/>
    <col min="7171" max="7171" width="8.81640625" customWidth="1"/>
    <col min="7172" max="7172" width="7.54296875" customWidth="1"/>
    <col min="7173" max="7193" width="3.81640625" customWidth="1"/>
    <col min="7194" max="7194" width="1.6328125" customWidth="1"/>
    <col min="7195" max="7200" width="0" hidden="1" customWidth="1"/>
    <col min="7201" max="7201" width="1.6328125" customWidth="1"/>
    <col min="7202" max="7202" width="3.81640625" customWidth="1"/>
    <col min="7203" max="7203" width="8.36328125" bestFit="1" customWidth="1"/>
    <col min="7204" max="7204" width="9.6328125" bestFit="1" customWidth="1"/>
    <col min="7205" max="7205" width="9.36328125" bestFit="1" customWidth="1"/>
    <col min="7206" max="7227" width="3.81640625" customWidth="1"/>
    <col min="7228" max="7236" width="5.26953125" customWidth="1"/>
    <col min="7237" max="7245" width="5" bestFit="1" customWidth="1"/>
    <col min="7425" max="7425" width="5.81640625" bestFit="1" customWidth="1"/>
    <col min="7426" max="7426" width="5.1796875" customWidth="1"/>
    <col min="7427" max="7427" width="8.81640625" customWidth="1"/>
    <col min="7428" max="7428" width="7.54296875" customWidth="1"/>
    <col min="7429" max="7449" width="3.81640625" customWidth="1"/>
    <col min="7450" max="7450" width="1.6328125" customWidth="1"/>
    <col min="7451" max="7456" width="0" hidden="1" customWidth="1"/>
    <col min="7457" max="7457" width="1.6328125" customWidth="1"/>
    <col min="7458" max="7458" width="3.81640625" customWidth="1"/>
    <col min="7459" max="7459" width="8.36328125" bestFit="1" customWidth="1"/>
    <col min="7460" max="7460" width="9.6328125" bestFit="1" customWidth="1"/>
    <col min="7461" max="7461" width="9.36328125" bestFit="1" customWidth="1"/>
    <col min="7462" max="7483" width="3.81640625" customWidth="1"/>
    <col min="7484" max="7492" width="5.26953125" customWidth="1"/>
    <col min="7493" max="7501" width="5" bestFit="1" customWidth="1"/>
    <col min="7681" max="7681" width="5.81640625" bestFit="1" customWidth="1"/>
    <col min="7682" max="7682" width="5.1796875" customWidth="1"/>
    <col min="7683" max="7683" width="8.81640625" customWidth="1"/>
    <col min="7684" max="7684" width="7.54296875" customWidth="1"/>
    <col min="7685" max="7705" width="3.81640625" customWidth="1"/>
    <col min="7706" max="7706" width="1.6328125" customWidth="1"/>
    <col min="7707" max="7712" width="0" hidden="1" customWidth="1"/>
    <col min="7713" max="7713" width="1.6328125" customWidth="1"/>
    <col min="7714" max="7714" width="3.81640625" customWidth="1"/>
    <col min="7715" max="7715" width="8.36328125" bestFit="1" customWidth="1"/>
    <col min="7716" max="7716" width="9.6328125" bestFit="1" customWidth="1"/>
    <col min="7717" max="7717" width="9.36328125" bestFit="1" customWidth="1"/>
    <col min="7718" max="7739" width="3.81640625" customWidth="1"/>
    <col min="7740" max="7748" width="5.26953125" customWidth="1"/>
    <col min="7749" max="7757" width="5" bestFit="1" customWidth="1"/>
    <col min="7937" max="7937" width="5.81640625" bestFit="1" customWidth="1"/>
    <col min="7938" max="7938" width="5.1796875" customWidth="1"/>
    <col min="7939" max="7939" width="8.81640625" customWidth="1"/>
    <col min="7940" max="7940" width="7.54296875" customWidth="1"/>
    <col min="7941" max="7961" width="3.81640625" customWidth="1"/>
    <col min="7962" max="7962" width="1.6328125" customWidth="1"/>
    <col min="7963" max="7968" width="0" hidden="1" customWidth="1"/>
    <col min="7969" max="7969" width="1.6328125" customWidth="1"/>
    <col min="7970" max="7970" width="3.81640625" customWidth="1"/>
    <col min="7971" max="7971" width="8.36328125" bestFit="1" customWidth="1"/>
    <col min="7972" max="7972" width="9.6328125" bestFit="1" customWidth="1"/>
    <col min="7973" max="7973" width="9.36328125" bestFit="1" customWidth="1"/>
    <col min="7974" max="7995" width="3.81640625" customWidth="1"/>
    <col min="7996" max="8004" width="5.26953125" customWidth="1"/>
    <col min="8005" max="8013" width="5" bestFit="1" customWidth="1"/>
    <col min="8193" max="8193" width="5.81640625" bestFit="1" customWidth="1"/>
    <col min="8194" max="8194" width="5.1796875" customWidth="1"/>
    <col min="8195" max="8195" width="8.81640625" customWidth="1"/>
    <col min="8196" max="8196" width="7.54296875" customWidth="1"/>
    <col min="8197" max="8217" width="3.81640625" customWidth="1"/>
    <col min="8218" max="8218" width="1.6328125" customWidth="1"/>
    <col min="8219" max="8224" width="0" hidden="1" customWidth="1"/>
    <col min="8225" max="8225" width="1.6328125" customWidth="1"/>
    <col min="8226" max="8226" width="3.81640625" customWidth="1"/>
    <col min="8227" max="8227" width="8.36328125" bestFit="1" customWidth="1"/>
    <col min="8228" max="8228" width="9.6328125" bestFit="1" customWidth="1"/>
    <col min="8229" max="8229" width="9.36328125" bestFit="1" customWidth="1"/>
    <col min="8230" max="8251" width="3.81640625" customWidth="1"/>
    <col min="8252" max="8260" width="5.26953125" customWidth="1"/>
    <col min="8261" max="8269" width="5" bestFit="1" customWidth="1"/>
    <col min="8449" max="8449" width="5.81640625" bestFit="1" customWidth="1"/>
    <col min="8450" max="8450" width="5.1796875" customWidth="1"/>
    <col min="8451" max="8451" width="8.81640625" customWidth="1"/>
    <col min="8452" max="8452" width="7.54296875" customWidth="1"/>
    <col min="8453" max="8473" width="3.81640625" customWidth="1"/>
    <col min="8474" max="8474" width="1.6328125" customWidth="1"/>
    <col min="8475" max="8480" width="0" hidden="1" customWidth="1"/>
    <col min="8481" max="8481" width="1.6328125" customWidth="1"/>
    <col min="8482" max="8482" width="3.81640625" customWidth="1"/>
    <col min="8483" max="8483" width="8.36328125" bestFit="1" customWidth="1"/>
    <col min="8484" max="8484" width="9.6328125" bestFit="1" customWidth="1"/>
    <col min="8485" max="8485" width="9.36328125" bestFit="1" customWidth="1"/>
    <col min="8486" max="8507" width="3.81640625" customWidth="1"/>
    <col min="8508" max="8516" width="5.26953125" customWidth="1"/>
    <col min="8517" max="8525" width="5" bestFit="1" customWidth="1"/>
    <col min="8705" max="8705" width="5.81640625" bestFit="1" customWidth="1"/>
    <col min="8706" max="8706" width="5.1796875" customWidth="1"/>
    <col min="8707" max="8707" width="8.81640625" customWidth="1"/>
    <col min="8708" max="8708" width="7.54296875" customWidth="1"/>
    <col min="8709" max="8729" width="3.81640625" customWidth="1"/>
    <col min="8730" max="8730" width="1.6328125" customWidth="1"/>
    <col min="8731" max="8736" width="0" hidden="1" customWidth="1"/>
    <col min="8737" max="8737" width="1.6328125" customWidth="1"/>
    <col min="8738" max="8738" width="3.81640625" customWidth="1"/>
    <col min="8739" max="8739" width="8.36328125" bestFit="1" customWidth="1"/>
    <col min="8740" max="8740" width="9.6328125" bestFit="1" customWidth="1"/>
    <col min="8741" max="8741" width="9.36328125" bestFit="1" customWidth="1"/>
    <col min="8742" max="8763" width="3.81640625" customWidth="1"/>
    <col min="8764" max="8772" width="5.26953125" customWidth="1"/>
    <col min="8773" max="8781" width="5" bestFit="1" customWidth="1"/>
    <col min="8961" max="8961" width="5.81640625" bestFit="1" customWidth="1"/>
    <col min="8962" max="8962" width="5.1796875" customWidth="1"/>
    <col min="8963" max="8963" width="8.81640625" customWidth="1"/>
    <col min="8964" max="8964" width="7.54296875" customWidth="1"/>
    <col min="8965" max="8985" width="3.81640625" customWidth="1"/>
    <col min="8986" max="8986" width="1.6328125" customWidth="1"/>
    <col min="8987" max="8992" width="0" hidden="1" customWidth="1"/>
    <col min="8993" max="8993" width="1.6328125" customWidth="1"/>
    <col min="8994" max="8994" width="3.81640625" customWidth="1"/>
    <col min="8995" max="8995" width="8.36328125" bestFit="1" customWidth="1"/>
    <col min="8996" max="8996" width="9.6328125" bestFit="1" customWidth="1"/>
    <col min="8997" max="8997" width="9.36328125" bestFit="1" customWidth="1"/>
    <col min="8998" max="9019" width="3.81640625" customWidth="1"/>
    <col min="9020" max="9028" width="5.26953125" customWidth="1"/>
    <col min="9029" max="9037" width="5" bestFit="1" customWidth="1"/>
    <col min="9217" max="9217" width="5.81640625" bestFit="1" customWidth="1"/>
    <col min="9218" max="9218" width="5.1796875" customWidth="1"/>
    <col min="9219" max="9219" width="8.81640625" customWidth="1"/>
    <col min="9220" max="9220" width="7.54296875" customWidth="1"/>
    <col min="9221" max="9241" width="3.81640625" customWidth="1"/>
    <col min="9242" max="9242" width="1.6328125" customWidth="1"/>
    <col min="9243" max="9248" width="0" hidden="1" customWidth="1"/>
    <col min="9249" max="9249" width="1.6328125" customWidth="1"/>
    <col min="9250" max="9250" width="3.81640625" customWidth="1"/>
    <col min="9251" max="9251" width="8.36328125" bestFit="1" customWidth="1"/>
    <col min="9252" max="9252" width="9.6328125" bestFit="1" customWidth="1"/>
    <col min="9253" max="9253" width="9.36328125" bestFit="1" customWidth="1"/>
    <col min="9254" max="9275" width="3.81640625" customWidth="1"/>
    <col min="9276" max="9284" width="5.26953125" customWidth="1"/>
    <col min="9285" max="9293" width="5" bestFit="1" customWidth="1"/>
    <col min="9473" max="9473" width="5.81640625" bestFit="1" customWidth="1"/>
    <col min="9474" max="9474" width="5.1796875" customWidth="1"/>
    <col min="9475" max="9475" width="8.81640625" customWidth="1"/>
    <col min="9476" max="9476" width="7.54296875" customWidth="1"/>
    <col min="9477" max="9497" width="3.81640625" customWidth="1"/>
    <col min="9498" max="9498" width="1.6328125" customWidth="1"/>
    <col min="9499" max="9504" width="0" hidden="1" customWidth="1"/>
    <col min="9505" max="9505" width="1.6328125" customWidth="1"/>
    <col min="9506" max="9506" width="3.81640625" customWidth="1"/>
    <col min="9507" max="9507" width="8.36328125" bestFit="1" customWidth="1"/>
    <col min="9508" max="9508" width="9.6328125" bestFit="1" customWidth="1"/>
    <col min="9509" max="9509" width="9.36328125" bestFit="1" customWidth="1"/>
    <col min="9510" max="9531" width="3.81640625" customWidth="1"/>
    <col min="9532" max="9540" width="5.26953125" customWidth="1"/>
    <col min="9541" max="9549" width="5" bestFit="1" customWidth="1"/>
    <col min="9729" max="9729" width="5.81640625" bestFit="1" customWidth="1"/>
    <col min="9730" max="9730" width="5.1796875" customWidth="1"/>
    <col min="9731" max="9731" width="8.81640625" customWidth="1"/>
    <col min="9732" max="9732" width="7.54296875" customWidth="1"/>
    <col min="9733" max="9753" width="3.81640625" customWidth="1"/>
    <col min="9754" max="9754" width="1.6328125" customWidth="1"/>
    <col min="9755" max="9760" width="0" hidden="1" customWidth="1"/>
    <col min="9761" max="9761" width="1.6328125" customWidth="1"/>
    <col min="9762" max="9762" width="3.81640625" customWidth="1"/>
    <col min="9763" max="9763" width="8.36328125" bestFit="1" customWidth="1"/>
    <col min="9764" max="9764" width="9.6328125" bestFit="1" customWidth="1"/>
    <col min="9765" max="9765" width="9.36328125" bestFit="1" customWidth="1"/>
    <col min="9766" max="9787" width="3.81640625" customWidth="1"/>
    <col min="9788" max="9796" width="5.26953125" customWidth="1"/>
    <col min="9797" max="9805" width="5" bestFit="1" customWidth="1"/>
    <col min="9985" max="9985" width="5.81640625" bestFit="1" customWidth="1"/>
    <col min="9986" max="9986" width="5.1796875" customWidth="1"/>
    <col min="9987" max="9987" width="8.81640625" customWidth="1"/>
    <col min="9988" max="9988" width="7.54296875" customWidth="1"/>
    <col min="9989" max="10009" width="3.81640625" customWidth="1"/>
    <col min="10010" max="10010" width="1.6328125" customWidth="1"/>
    <col min="10011" max="10016" width="0" hidden="1" customWidth="1"/>
    <col min="10017" max="10017" width="1.6328125" customWidth="1"/>
    <col min="10018" max="10018" width="3.81640625" customWidth="1"/>
    <col min="10019" max="10019" width="8.36328125" bestFit="1" customWidth="1"/>
    <col min="10020" max="10020" width="9.6328125" bestFit="1" customWidth="1"/>
    <col min="10021" max="10021" width="9.36328125" bestFit="1" customWidth="1"/>
    <col min="10022" max="10043" width="3.81640625" customWidth="1"/>
    <col min="10044" max="10052" width="5.26953125" customWidth="1"/>
    <col min="10053" max="10061" width="5" bestFit="1" customWidth="1"/>
    <col min="10241" max="10241" width="5.81640625" bestFit="1" customWidth="1"/>
    <col min="10242" max="10242" width="5.1796875" customWidth="1"/>
    <col min="10243" max="10243" width="8.81640625" customWidth="1"/>
    <col min="10244" max="10244" width="7.54296875" customWidth="1"/>
    <col min="10245" max="10265" width="3.81640625" customWidth="1"/>
    <col min="10266" max="10266" width="1.6328125" customWidth="1"/>
    <col min="10267" max="10272" width="0" hidden="1" customWidth="1"/>
    <col min="10273" max="10273" width="1.6328125" customWidth="1"/>
    <col min="10274" max="10274" width="3.81640625" customWidth="1"/>
    <col min="10275" max="10275" width="8.36328125" bestFit="1" customWidth="1"/>
    <col min="10276" max="10276" width="9.6328125" bestFit="1" customWidth="1"/>
    <col min="10277" max="10277" width="9.36328125" bestFit="1" customWidth="1"/>
    <col min="10278" max="10299" width="3.81640625" customWidth="1"/>
    <col min="10300" max="10308" width="5.26953125" customWidth="1"/>
    <col min="10309" max="10317" width="5" bestFit="1" customWidth="1"/>
    <col min="10497" max="10497" width="5.81640625" bestFit="1" customWidth="1"/>
    <col min="10498" max="10498" width="5.1796875" customWidth="1"/>
    <col min="10499" max="10499" width="8.81640625" customWidth="1"/>
    <col min="10500" max="10500" width="7.54296875" customWidth="1"/>
    <col min="10501" max="10521" width="3.81640625" customWidth="1"/>
    <col min="10522" max="10522" width="1.6328125" customWidth="1"/>
    <col min="10523" max="10528" width="0" hidden="1" customWidth="1"/>
    <col min="10529" max="10529" width="1.6328125" customWidth="1"/>
    <col min="10530" max="10530" width="3.81640625" customWidth="1"/>
    <col min="10531" max="10531" width="8.36328125" bestFit="1" customWidth="1"/>
    <col min="10532" max="10532" width="9.6328125" bestFit="1" customWidth="1"/>
    <col min="10533" max="10533" width="9.36328125" bestFit="1" customWidth="1"/>
    <col min="10534" max="10555" width="3.81640625" customWidth="1"/>
    <col min="10556" max="10564" width="5.26953125" customWidth="1"/>
    <col min="10565" max="10573" width="5" bestFit="1" customWidth="1"/>
    <col min="10753" max="10753" width="5.81640625" bestFit="1" customWidth="1"/>
    <col min="10754" max="10754" width="5.1796875" customWidth="1"/>
    <col min="10755" max="10755" width="8.81640625" customWidth="1"/>
    <col min="10756" max="10756" width="7.54296875" customWidth="1"/>
    <col min="10757" max="10777" width="3.81640625" customWidth="1"/>
    <col min="10778" max="10778" width="1.6328125" customWidth="1"/>
    <col min="10779" max="10784" width="0" hidden="1" customWidth="1"/>
    <col min="10785" max="10785" width="1.6328125" customWidth="1"/>
    <col min="10786" max="10786" width="3.81640625" customWidth="1"/>
    <col min="10787" max="10787" width="8.36328125" bestFit="1" customWidth="1"/>
    <col min="10788" max="10788" width="9.6328125" bestFit="1" customWidth="1"/>
    <col min="10789" max="10789" width="9.36328125" bestFit="1" customWidth="1"/>
    <col min="10790" max="10811" width="3.81640625" customWidth="1"/>
    <col min="10812" max="10820" width="5.26953125" customWidth="1"/>
    <col min="10821" max="10829" width="5" bestFit="1" customWidth="1"/>
    <col min="11009" max="11009" width="5.81640625" bestFit="1" customWidth="1"/>
    <col min="11010" max="11010" width="5.1796875" customWidth="1"/>
    <col min="11011" max="11011" width="8.81640625" customWidth="1"/>
    <col min="11012" max="11012" width="7.54296875" customWidth="1"/>
    <col min="11013" max="11033" width="3.81640625" customWidth="1"/>
    <col min="11034" max="11034" width="1.6328125" customWidth="1"/>
    <col min="11035" max="11040" width="0" hidden="1" customWidth="1"/>
    <col min="11041" max="11041" width="1.6328125" customWidth="1"/>
    <col min="11042" max="11042" width="3.81640625" customWidth="1"/>
    <col min="11043" max="11043" width="8.36328125" bestFit="1" customWidth="1"/>
    <col min="11044" max="11044" width="9.6328125" bestFit="1" customWidth="1"/>
    <col min="11045" max="11045" width="9.36328125" bestFit="1" customWidth="1"/>
    <col min="11046" max="11067" width="3.81640625" customWidth="1"/>
    <col min="11068" max="11076" width="5.26953125" customWidth="1"/>
    <col min="11077" max="11085" width="5" bestFit="1" customWidth="1"/>
    <col min="11265" max="11265" width="5.81640625" bestFit="1" customWidth="1"/>
    <col min="11266" max="11266" width="5.1796875" customWidth="1"/>
    <col min="11267" max="11267" width="8.81640625" customWidth="1"/>
    <col min="11268" max="11268" width="7.54296875" customWidth="1"/>
    <col min="11269" max="11289" width="3.81640625" customWidth="1"/>
    <col min="11290" max="11290" width="1.6328125" customWidth="1"/>
    <col min="11291" max="11296" width="0" hidden="1" customWidth="1"/>
    <col min="11297" max="11297" width="1.6328125" customWidth="1"/>
    <col min="11298" max="11298" width="3.81640625" customWidth="1"/>
    <col min="11299" max="11299" width="8.36328125" bestFit="1" customWidth="1"/>
    <col min="11300" max="11300" width="9.6328125" bestFit="1" customWidth="1"/>
    <col min="11301" max="11301" width="9.36328125" bestFit="1" customWidth="1"/>
    <col min="11302" max="11323" width="3.81640625" customWidth="1"/>
    <col min="11324" max="11332" width="5.26953125" customWidth="1"/>
    <col min="11333" max="11341" width="5" bestFit="1" customWidth="1"/>
    <col min="11521" max="11521" width="5.81640625" bestFit="1" customWidth="1"/>
    <col min="11522" max="11522" width="5.1796875" customWidth="1"/>
    <col min="11523" max="11523" width="8.81640625" customWidth="1"/>
    <col min="11524" max="11524" width="7.54296875" customWidth="1"/>
    <col min="11525" max="11545" width="3.81640625" customWidth="1"/>
    <col min="11546" max="11546" width="1.6328125" customWidth="1"/>
    <col min="11547" max="11552" width="0" hidden="1" customWidth="1"/>
    <col min="11553" max="11553" width="1.6328125" customWidth="1"/>
    <col min="11554" max="11554" width="3.81640625" customWidth="1"/>
    <col min="11555" max="11555" width="8.36328125" bestFit="1" customWidth="1"/>
    <col min="11556" max="11556" width="9.6328125" bestFit="1" customWidth="1"/>
    <col min="11557" max="11557" width="9.36328125" bestFit="1" customWidth="1"/>
    <col min="11558" max="11579" width="3.81640625" customWidth="1"/>
    <col min="11580" max="11588" width="5.26953125" customWidth="1"/>
    <col min="11589" max="11597" width="5" bestFit="1" customWidth="1"/>
    <col min="11777" max="11777" width="5.81640625" bestFit="1" customWidth="1"/>
    <col min="11778" max="11778" width="5.1796875" customWidth="1"/>
    <col min="11779" max="11779" width="8.81640625" customWidth="1"/>
    <col min="11780" max="11780" width="7.54296875" customWidth="1"/>
    <col min="11781" max="11801" width="3.81640625" customWidth="1"/>
    <col min="11802" max="11802" width="1.6328125" customWidth="1"/>
    <col min="11803" max="11808" width="0" hidden="1" customWidth="1"/>
    <col min="11809" max="11809" width="1.6328125" customWidth="1"/>
    <col min="11810" max="11810" width="3.81640625" customWidth="1"/>
    <col min="11811" max="11811" width="8.36328125" bestFit="1" customWidth="1"/>
    <col min="11812" max="11812" width="9.6328125" bestFit="1" customWidth="1"/>
    <col min="11813" max="11813" width="9.36328125" bestFit="1" customWidth="1"/>
    <col min="11814" max="11835" width="3.81640625" customWidth="1"/>
    <col min="11836" max="11844" width="5.26953125" customWidth="1"/>
    <col min="11845" max="11853" width="5" bestFit="1" customWidth="1"/>
    <col min="12033" max="12033" width="5.81640625" bestFit="1" customWidth="1"/>
    <col min="12034" max="12034" width="5.1796875" customWidth="1"/>
    <col min="12035" max="12035" width="8.81640625" customWidth="1"/>
    <col min="12036" max="12036" width="7.54296875" customWidth="1"/>
    <col min="12037" max="12057" width="3.81640625" customWidth="1"/>
    <col min="12058" max="12058" width="1.6328125" customWidth="1"/>
    <col min="12059" max="12064" width="0" hidden="1" customWidth="1"/>
    <col min="12065" max="12065" width="1.6328125" customWidth="1"/>
    <col min="12066" max="12066" width="3.81640625" customWidth="1"/>
    <col min="12067" max="12067" width="8.36328125" bestFit="1" customWidth="1"/>
    <col min="12068" max="12068" width="9.6328125" bestFit="1" customWidth="1"/>
    <col min="12069" max="12069" width="9.36328125" bestFit="1" customWidth="1"/>
    <col min="12070" max="12091" width="3.81640625" customWidth="1"/>
    <col min="12092" max="12100" width="5.26953125" customWidth="1"/>
    <col min="12101" max="12109" width="5" bestFit="1" customWidth="1"/>
    <col min="12289" max="12289" width="5.81640625" bestFit="1" customWidth="1"/>
    <col min="12290" max="12290" width="5.1796875" customWidth="1"/>
    <col min="12291" max="12291" width="8.81640625" customWidth="1"/>
    <col min="12292" max="12292" width="7.54296875" customWidth="1"/>
    <col min="12293" max="12313" width="3.81640625" customWidth="1"/>
    <col min="12314" max="12314" width="1.6328125" customWidth="1"/>
    <col min="12315" max="12320" width="0" hidden="1" customWidth="1"/>
    <col min="12321" max="12321" width="1.6328125" customWidth="1"/>
    <col min="12322" max="12322" width="3.81640625" customWidth="1"/>
    <col min="12323" max="12323" width="8.36328125" bestFit="1" customWidth="1"/>
    <col min="12324" max="12324" width="9.6328125" bestFit="1" customWidth="1"/>
    <col min="12325" max="12325" width="9.36328125" bestFit="1" customWidth="1"/>
    <col min="12326" max="12347" width="3.81640625" customWidth="1"/>
    <col min="12348" max="12356" width="5.26953125" customWidth="1"/>
    <col min="12357" max="12365" width="5" bestFit="1" customWidth="1"/>
    <col min="12545" max="12545" width="5.81640625" bestFit="1" customWidth="1"/>
    <col min="12546" max="12546" width="5.1796875" customWidth="1"/>
    <col min="12547" max="12547" width="8.81640625" customWidth="1"/>
    <col min="12548" max="12548" width="7.54296875" customWidth="1"/>
    <col min="12549" max="12569" width="3.81640625" customWidth="1"/>
    <col min="12570" max="12570" width="1.6328125" customWidth="1"/>
    <col min="12571" max="12576" width="0" hidden="1" customWidth="1"/>
    <col min="12577" max="12577" width="1.6328125" customWidth="1"/>
    <col min="12578" max="12578" width="3.81640625" customWidth="1"/>
    <col min="12579" max="12579" width="8.36328125" bestFit="1" customWidth="1"/>
    <col min="12580" max="12580" width="9.6328125" bestFit="1" customWidth="1"/>
    <col min="12581" max="12581" width="9.36328125" bestFit="1" customWidth="1"/>
    <col min="12582" max="12603" width="3.81640625" customWidth="1"/>
    <col min="12604" max="12612" width="5.26953125" customWidth="1"/>
    <col min="12613" max="12621" width="5" bestFit="1" customWidth="1"/>
    <col min="12801" max="12801" width="5.81640625" bestFit="1" customWidth="1"/>
    <col min="12802" max="12802" width="5.1796875" customWidth="1"/>
    <col min="12803" max="12803" width="8.81640625" customWidth="1"/>
    <col min="12804" max="12804" width="7.54296875" customWidth="1"/>
    <col min="12805" max="12825" width="3.81640625" customWidth="1"/>
    <col min="12826" max="12826" width="1.6328125" customWidth="1"/>
    <col min="12827" max="12832" width="0" hidden="1" customWidth="1"/>
    <col min="12833" max="12833" width="1.6328125" customWidth="1"/>
    <col min="12834" max="12834" width="3.81640625" customWidth="1"/>
    <col min="12835" max="12835" width="8.36328125" bestFit="1" customWidth="1"/>
    <col min="12836" max="12836" width="9.6328125" bestFit="1" customWidth="1"/>
    <col min="12837" max="12837" width="9.36328125" bestFit="1" customWidth="1"/>
    <col min="12838" max="12859" width="3.81640625" customWidth="1"/>
    <col min="12860" max="12868" width="5.26953125" customWidth="1"/>
    <col min="12869" max="12877" width="5" bestFit="1" customWidth="1"/>
    <col min="13057" max="13057" width="5.81640625" bestFit="1" customWidth="1"/>
    <col min="13058" max="13058" width="5.1796875" customWidth="1"/>
    <col min="13059" max="13059" width="8.81640625" customWidth="1"/>
    <col min="13060" max="13060" width="7.54296875" customWidth="1"/>
    <col min="13061" max="13081" width="3.81640625" customWidth="1"/>
    <col min="13082" max="13082" width="1.6328125" customWidth="1"/>
    <col min="13083" max="13088" width="0" hidden="1" customWidth="1"/>
    <col min="13089" max="13089" width="1.6328125" customWidth="1"/>
    <col min="13090" max="13090" width="3.81640625" customWidth="1"/>
    <col min="13091" max="13091" width="8.36328125" bestFit="1" customWidth="1"/>
    <col min="13092" max="13092" width="9.6328125" bestFit="1" customWidth="1"/>
    <col min="13093" max="13093" width="9.36328125" bestFit="1" customWidth="1"/>
    <col min="13094" max="13115" width="3.81640625" customWidth="1"/>
    <col min="13116" max="13124" width="5.26953125" customWidth="1"/>
    <col min="13125" max="13133" width="5" bestFit="1" customWidth="1"/>
    <col min="13313" max="13313" width="5.81640625" bestFit="1" customWidth="1"/>
    <col min="13314" max="13314" width="5.1796875" customWidth="1"/>
    <col min="13315" max="13315" width="8.81640625" customWidth="1"/>
    <col min="13316" max="13316" width="7.54296875" customWidth="1"/>
    <col min="13317" max="13337" width="3.81640625" customWidth="1"/>
    <col min="13338" max="13338" width="1.6328125" customWidth="1"/>
    <col min="13339" max="13344" width="0" hidden="1" customWidth="1"/>
    <col min="13345" max="13345" width="1.6328125" customWidth="1"/>
    <col min="13346" max="13346" width="3.81640625" customWidth="1"/>
    <col min="13347" max="13347" width="8.36328125" bestFit="1" customWidth="1"/>
    <col min="13348" max="13348" width="9.6328125" bestFit="1" customWidth="1"/>
    <col min="13349" max="13349" width="9.36328125" bestFit="1" customWidth="1"/>
    <col min="13350" max="13371" width="3.81640625" customWidth="1"/>
    <col min="13372" max="13380" width="5.26953125" customWidth="1"/>
    <col min="13381" max="13389" width="5" bestFit="1" customWidth="1"/>
    <col min="13569" max="13569" width="5.81640625" bestFit="1" customWidth="1"/>
    <col min="13570" max="13570" width="5.1796875" customWidth="1"/>
    <col min="13571" max="13571" width="8.81640625" customWidth="1"/>
    <col min="13572" max="13572" width="7.54296875" customWidth="1"/>
    <col min="13573" max="13593" width="3.81640625" customWidth="1"/>
    <col min="13594" max="13594" width="1.6328125" customWidth="1"/>
    <col min="13595" max="13600" width="0" hidden="1" customWidth="1"/>
    <col min="13601" max="13601" width="1.6328125" customWidth="1"/>
    <col min="13602" max="13602" width="3.81640625" customWidth="1"/>
    <col min="13603" max="13603" width="8.36328125" bestFit="1" customWidth="1"/>
    <col min="13604" max="13604" width="9.6328125" bestFit="1" customWidth="1"/>
    <col min="13605" max="13605" width="9.36328125" bestFit="1" customWidth="1"/>
    <col min="13606" max="13627" width="3.81640625" customWidth="1"/>
    <col min="13628" max="13636" width="5.26953125" customWidth="1"/>
    <col min="13637" max="13645" width="5" bestFit="1" customWidth="1"/>
    <col min="13825" max="13825" width="5.81640625" bestFit="1" customWidth="1"/>
    <col min="13826" max="13826" width="5.1796875" customWidth="1"/>
    <col min="13827" max="13827" width="8.81640625" customWidth="1"/>
    <col min="13828" max="13828" width="7.54296875" customWidth="1"/>
    <col min="13829" max="13849" width="3.81640625" customWidth="1"/>
    <col min="13850" max="13850" width="1.6328125" customWidth="1"/>
    <col min="13851" max="13856" width="0" hidden="1" customWidth="1"/>
    <col min="13857" max="13857" width="1.6328125" customWidth="1"/>
    <col min="13858" max="13858" width="3.81640625" customWidth="1"/>
    <col min="13859" max="13859" width="8.36328125" bestFit="1" customWidth="1"/>
    <col min="13860" max="13860" width="9.6328125" bestFit="1" customWidth="1"/>
    <col min="13861" max="13861" width="9.36328125" bestFit="1" customWidth="1"/>
    <col min="13862" max="13883" width="3.81640625" customWidth="1"/>
    <col min="13884" max="13892" width="5.26953125" customWidth="1"/>
    <col min="13893" max="13901" width="5" bestFit="1" customWidth="1"/>
    <col min="14081" max="14081" width="5.81640625" bestFit="1" customWidth="1"/>
    <col min="14082" max="14082" width="5.1796875" customWidth="1"/>
    <col min="14083" max="14083" width="8.81640625" customWidth="1"/>
    <col min="14084" max="14084" width="7.54296875" customWidth="1"/>
    <col min="14085" max="14105" width="3.81640625" customWidth="1"/>
    <col min="14106" max="14106" width="1.6328125" customWidth="1"/>
    <col min="14107" max="14112" width="0" hidden="1" customWidth="1"/>
    <col min="14113" max="14113" width="1.6328125" customWidth="1"/>
    <col min="14114" max="14114" width="3.81640625" customWidth="1"/>
    <col min="14115" max="14115" width="8.36328125" bestFit="1" customWidth="1"/>
    <col min="14116" max="14116" width="9.6328125" bestFit="1" customWidth="1"/>
    <col min="14117" max="14117" width="9.36328125" bestFit="1" customWidth="1"/>
    <col min="14118" max="14139" width="3.81640625" customWidth="1"/>
    <col min="14140" max="14148" width="5.26953125" customWidth="1"/>
    <col min="14149" max="14157" width="5" bestFit="1" customWidth="1"/>
    <col min="14337" max="14337" width="5.81640625" bestFit="1" customWidth="1"/>
    <col min="14338" max="14338" width="5.1796875" customWidth="1"/>
    <col min="14339" max="14339" width="8.81640625" customWidth="1"/>
    <col min="14340" max="14340" width="7.54296875" customWidth="1"/>
    <col min="14341" max="14361" width="3.81640625" customWidth="1"/>
    <col min="14362" max="14362" width="1.6328125" customWidth="1"/>
    <col min="14363" max="14368" width="0" hidden="1" customWidth="1"/>
    <col min="14369" max="14369" width="1.6328125" customWidth="1"/>
    <col min="14370" max="14370" width="3.81640625" customWidth="1"/>
    <col min="14371" max="14371" width="8.36328125" bestFit="1" customWidth="1"/>
    <col min="14372" max="14372" width="9.6328125" bestFit="1" customWidth="1"/>
    <col min="14373" max="14373" width="9.36328125" bestFit="1" customWidth="1"/>
    <col min="14374" max="14395" width="3.81640625" customWidth="1"/>
    <col min="14396" max="14404" width="5.26953125" customWidth="1"/>
    <col min="14405" max="14413" width="5" bestFit="1" customWidth="1"/>
    <col min="14593" max="14593" width="5.81640625" bestFit="1" customWidth="1"/>
    <col min="14594" max="14594" width="5.1796875" customWidth="1"/>
    <col min="14595" max="14595" width="8.81640625" customWidth="1"/>
    <col min="14596" max="14596" width="7.54296875" customWidth="1"/>
    <col min="14597" max="14617" width="3.81640625" customWidth="1"/>
    <col min="14618" max="14618" width="1.6328125" customWidth="1"/>
    <col min="14619" max="14624" width="0" hidden="1" customWidth="1"/>
    <col min="14625" max="14625" width="1.6328125" customWidth="1"/>
    <col min="14626" max="14626" width="3.81640625" customWidth="1"/>
    <col min="14627" max="14627" width="8.36328125" bestFit="1" customWidth="1"/>
    <col min="14628" max="14628" width="9.6328125" bestFit="1" customWidth="1"/>
    <col min="14629" max="14629" width="9.36328125" bestFit="1" customWidth="1"/>
    <col min="14630" max="14651" width="3.81640625" customWidth="1"/>
    <col min="14652" max="14660" width="5.26953125" customWidth="1"/>
    <col min="14661" max="14669" width="5" bestFit="1" customWidth="1"/>
    <col min="14849" max="14849" width="5.81640625" bestFit="1" customWidth="1"/>
    <col min="14850" max="14850" width="5.1796875" customWidth="1"/>
    <col min="14851" max="14851" width="8.81640625" customWidth="1"/>
    <col min="14852" max="14852" width="7.54296875" customWidth="1"/>
    <col min="14853" max="14873" width="3.81640625" customWidth="1"/>
    <col min="14874" max="14874" width="1.6328125" customWidth="1"/>
    <col min="14875" max="14880" width="0" hidden="1" customWidth="1"/>
    <col min="14881" max="14881" width="1.6328125" customWidth="1"/>
    <col min="14882" max="14882" width="3.81640625" customWidth="1"/>
    <col min="14883" max="14883" width="8.36328125" bestFit="1" customWidth="1"/>
    <col min="14884" max="14884" width="9.6328125" bestFit="1" customWidth="1"/>
    <col min="14885" max="14885" width="9.36328125" bestFit="1" customWidth="1"/>
    <col min="14886" max="14907" width="3.81640625" customWidth="1"/>
    <col min="14908" max="14916" width="5.26953125" customWidth="1"/>
    <col min="14917" max="14925" width="5" bestFit="1" customWidth="1"/>
    <col min="15105" max="15105" width="5.81640625" bestFit="1" customWidth="1"/>
    <col min="15106" max="15106" width="5.1796875" customWidth="1"/>
    <col min="15107" max="15107" width="8.81640625" customWidth="1"/>
    <col min="15108" max="15108" width="7.54296875" customWidth="1"/>
    <col min="15109" max="15129" width="3.81640625" customWidth="1"/>
    <col min="15130" max="15130" width="1.6328125" customWidth="1"/>
    <col min="15131" max="15136" width="0" hidden="1" customWidth="1"/>
    <col min="15137" max="15137" width="1.6328125" customWidth="1"/>
    <col min="15138" max="15138" width="3.81640625" customWidth="1"/>
    <col min="15139" max="15139" width="8.36328125" bestFit="1" customWidth="1"/>
    <col min="15140" max="15140" width="9.6328125" bestFit="1" customWidth="1"/>
    <col min="15141" max="15141" width="9.36328125" bestFit="1" customWidth="1"/>
    <col min="15142" max="15163" width="3.81640625" customWidth="1"/>
    <col min="15164" max="15172" width="5.26953125" customWidth="1"/>
    <col min="15173" max="15181" width="5" bestFit="1" customWidth="1"/>
    <col min="15361" max="15361" width="5.81640625" bestFit="1" customWidth="1"/>
    <col min="15362" max="15362" width="5.1796875" customWidth="1"/>
    <col min="15363" max="15363" width="8.81640625" customWidth="1"/>
    <col min="15364" max="15364" width="7.54296875" customWidth="1"/>
    <col min="15365" max="15385" width="3.81640625" customWidth="1"/>
    <col min="15386" max="15386" width="1.6328125" customWidth="1"/>
    <col min="15387" max="15392" width="0" hidden="1" customWidth="1"/>
    <col min="15393" max="15393" width="1.6328125" customWidth="1"/>
    <col min="15394" max="15394" width="3.81640625" customWidth="1"/>
    <col min="15395" max="15395" width="8.36328125" bestFit="1" customWidth="1"/>
    <col min="15396" max="15396" width="9.6328125" bestFit="1" customWidth="1"/>
    <col min="15397" max="15397" width="9.36328125" bestFit="1" customWidth="1"/>
    <col min="15398" max="15419" width="3.81640625" customWidth="1"/>
    <col min="15420" max="15428" width="5.26953125" customWidth="1"/>
    <col min="15429" max="15437" width="5" bestFit="1" customWidth="1"/>
    <col min="15617" max="15617" width="5.81640625" bestFit="1" customWidth="1"/>
    <col min="15618" max="15618" width="5.1796875" customWidth="1"/>
    <col min="15619" max="15619" width="8.81640625" customWidth="1"/>
    <col min="15620" max="15620" width="7.54296875" customWidth="1"/>
    <col min="15621" max="15641" width="3.81640625" customWidth="1"/>
    <col min="15642" max="15642" width="1.6328125" customWidth="1"/>
    <col min="15643" max="15648" width="0" hidden="1" customWidth="1"/>
    <col min="15649" max="15649" width="1.6328125" customWidth="1"/>
    <col min="15650" max="15650" width="3.81640625" customWidth="1"/>
    <col min="15651" max="15651" width="8.36328125" bestFit="1" customWidth="1"/>
    <col min="15652" max="15652" width="9.6328125" bestFit="1" customWidth="1"/>
    <col min="15653" max="15653" width="9.36328125" bestFit="1" customWidth="1"/>
    <col min="15654" max="15675" width="3.81640625" customWidth="1"/>
    <col min="15676" max="15684" width="5.26953125" customWidth="1"/>
    <col min="15685" max="15693" width="5" bestFit="1" customWidth="1"/>
    <col min="15873" max="15873" width="5.81640625" bestFit="1" customWidth="1"/>
    <col min="15874" max="15874" width="5.1796875" customWidth="1"/>
    <col min="15875" max="15875" width="8.81640625" customWidth="1"/>
    <col min="15876" max="15876" width="7.54296875" customWidth="1"/>
    <col min="15877" max="15897" width="3.81640625" customWidth="1"/>
    <col min="15898" max="15898" width="1.6328125" customWidth="1"/>
    <col min="15899" max="15904" width="0" hidden="1" customWidth="1"/>
    <col min="15905" max="15905" width="1.6328125" customWidth="1"/>
    <col min="15906" max="15906" width="3.81640625" customWidth="1"/>
    <col min="15907" max="15907" width="8.36328125" bestFit="1" customWidth="1"/>
    <col min="15908" max="15908" width="9.6328125" bestFit="1" customWidth="1"/>
    <col min="15909" max="15909" width="9.36328125" bestFit="1" customWidth="1"/>
    <col min="15910" max="15931" width="3.81640625" customWidth="1"/>
    <col min="15932" max="15940" width="5.26953125" customWidth="1"/>
    <col min="15941" max="15949" width="5" bestFit="1" customWidth="1"/>
    <col min="16129" max="16129" width="5.81640625" bestFit="1" customWidth="1"/>
    <col min="16130" max="16130" width="5.1796875" customWidth="1"/>
    <col min="16131" max="16131" width="8.81640625" customWidth="1"/>
    <col min="16132" max="16132" width="7.54296875" customWidth="1"/>
    <col min="16133" max="16153" width="3.81640625" customWidth="1"/>
    <col min="16154" max="16154" width="1.6328125" customWidth="1"/>
    <col min="16155" max="16160" width="0" hidden="1" customWidth="1"/>
    <col min="16161" max="16161" width="1.6328125" customWidth="1"/>
    <col min="16162" max="16162" width="3.81640625" customWidth="1"/>
    <col min="16163" max="16163" width="8.36328125" bestFit="1" customWidth="1"/>
    <col min="16164" max="16164" width="9.6328125" bestFit="1" customWidth="1"/>
    <col min="16165" max="16165" width="9.36328125" bestFit="1" customWidth="1"/>
    <col min="16166" max="16187" width="3.81640625" customWidth="1"/>
    <col min="16188" max="16196" width="5.26953125" customWidth="1"/>
    <col min="16197" max="16205" width="5" bestFit="1" customWidth="1"/>
  </cols>
  <sheetData>
    <row r="1" spans="1:59" ht="15" x14ac:dyDescent="0.4">
      <c r="E1" s="44" t="s">
        <v>15</v>
      </c>
    </row>
    <row r="2" spans="1:59" ht="15" x14ac:dyDescent="0.4">
      <c r="A2" s="44" t="s">
        <v>16</v>
      </c>
      <c r="B2" s="44" t="s">
        <v>17</v>
      </c>
      <c r="D2" s="44" t="s">
        <v>18</v>
      </c>
      <c r="E2">
        <v>1</v>
      </c>
      <c r="F2">
        <f t="shared" ref="F2:Y2" si="0">1+E2</f>
        <v>2</v>
      </c>
      <c r="G2">
        <f t="shared" si="0"/>
        <v>3</v>
      </c>
      <c r="H2">
        <f t="shared" si="0"/>
        <v>4</v>
      </c>
      <c r="I2">
        <f t="shared" si="0"/>
        <v>5</v>
      </c>
      <c r="J2">
        <f t="shared" si="0"/>
        <v>6</v>
      </c>
      <c r="K2">
        <f t="shared" si="0"/>
        <v>7</v>
      </c>
      <c r="L2">
        <f t="shared" si="0"/>
        <v>8</v>
      </c>
      <c r="M2">
        <f t="shared" si="0"/>
        <v>9</v>
      </c>
      <c r="N2">
        <f t="shared" si="0"/>
        <v>10</v>
      </c>
      <c r="O2">
        <f t="shared" si="0"/>
        <v>11</v>
      </c>
      <c r="P2">
        <f t="shared" si="0"/>
        <v>12</v>
      </c>
      <c r="Q2">
        <f t="shared" si="0"/>
        <v>13</v>
      </c>
      <c r="R2">
        <f t="shared" si="0"/>
        <v>14</v>
      </c>
      <c r="S2">
        <f t="shared" si="0"/>
        <v>15</v>
      </c>
      <c r="T2">
        <f t="shared" si="0"/>
        <v>16</v>
      </c>
      <c r="U2">
        <f t="shared" si="0"/>
        <v>17</v>
      </c>
      <c r="V2">
        <f t="shared" si="0"/>
        <v>18</v>
      </c>
      <c r="W2">
        <f t="shared" si="0"/>
        <v>19</v>
      </c>
      <c r="X2">
        <f t="shared" si="0"/>
        <v>20</v>
      </c>
      <c r="Y2">
        <f t="shared" si="0"/>
        <v>21</v>
      </c>
    </row>
    <row r="3" spans="1:59" x14ac:dyDescent="0.25">
      <c r="A3">
        <v>1</v>
      </c>
      <c r="B3" s="45">
        <v>5</v>
      </c>
      <c r="C3" s="46">
        <f t="shared" ref="C3:C8" si="1">SUM(E3:Y3)</f>
        <v>5</v>
      </c>
      <c r="E3" s="47">
        <f>SUM(E13:I13)</f>
        <v>0</v>
      </c>
      <c r="F3" s="47">
        <f t="shared" ref="F3:Y3" si="2">SUM(F13:J13)</f>
        <v>0</v>
      </c>
      <c r="G3" s="47">
        <f t="shared" si="2"/>
        <v>0</v>
      </c>
      <c r="H3" s="47">
        <f t="shared" si="2"/>
        <v>0</v>
      </c>
      <c r="I3" s="47">
        <f t="shared" si="2"/>
        <v>0</v>
      </c>
      <c r="J3" s="47">
        <f t="shared" si="2"/>
        <v>1</v>
      </c>
      <c r="K3" s="47">
        <f t="shared" si="2"/>
        <v>1</v>
      </c>
      <c r="L3" s="47">
        <f t="shared" si="2"/>
        <v>1</v>
      </c>
      <c r="M3" s="47">
        <f t="shared" si="2"/>
        <v>1</v>
      </c>
      <c r="N3" s="47">
        <f t="shared" si="2"/>
        <v>1</v>
      </c>
      <c r="O3" s="47">
        <f t="shared" si="2"/>
        <v>0</v>
      </c>
      <c r="P3" s="47">
        <f t="shared" si="2"/>
        <v>0</v>
      </c>
      <c r="Q3" s="47">
        <f t="shared" si="2"/>
        <v>0</v>
      </c>
      <c r="R3" s="47">
        <f t="shared" si="2"/>
        <v>0</v>
      </c>
      <c r="S3" s="47">
        <f t="shared" si="2"/>
        <v>0</v>
      </c>
      <c r="T3" s="47">
        <f t="shared" si="2"/>
        <v>0</v>
      </c>
      <c r="U3" s="47">
        <f t="shared" si="2"/>
        <v>0</v>
      </c>
      <c r="V3" s="47">
        <f t="shared" si="2"/>
        <v>0</v>
      </c>
      <c r="W3" s="47">
        <f t="shared" si="2"/>
        <v>0</v>
      </c>
      <c r="X3" s="47">
        <f t="shared" si="2"/>
        <v>0</v>
      </c>
      <c r="Y3" s="48">
        <f t="shared" si="2"/>
        <v>0</v>
      </c>
    </row>
    <row r="4" spans="1:59" x14ac:dyDescent="0.25">
      <c r="A4">
        <f>A3+1</f>
        <v>2</v>
      </c>
      <c r="B4" s="49">
        <v>7</v>
      </c>
      <c r="C4" s="50">
        <f t="shared" si="1"/>
        <v>7</v>
      </c>
      <c r="E4" s="51">
        <f>SUM(E14:K14)</f>
        <v>0</v>
      </c>
      <c r="F4" s="51">
        <f t="shared" ref="F4:Y4" si="3">SUM(F14:L14)</f>
        <v>0</v>
      </c>
      <c r="G4" s="51">
        <f t="shared" si="3"/>
        <v>0</v>
      </c>
      <c r="H4" s="51">
        <f t="shared" si="3"/>
        <v>0</v>
      </c>
      <c r="I4" s="51">
        <f t="shared" si="3"/>
        <v>0</v>
      </c>
      <c r="J4" s="51">
        <f t="shared" si="3"/>
        <v>0</v>
      </c>
      <c r="K4" s="51">
        <f t="shared" si="3"/>
        <v>1</v>
      </c>
      <c r="L4" s="51">
        <f t="shared" si="3"/>
        <v>1</v>
      </c>
      <c r="M4" s="51">
        <f t="shared" si="3"/>
        <v>1</v>
      </c>
      <c r="N4" s="51">
        <f t="shared" si="3"/>
        <v>1</v>
      </c>
      <c r="O4" s="51">
        <f t="shared" si="3"/>
        <v>1</v>
      </c>
      <c r="P4" s="51">
        <f t="shared" si="3"/>
        <v>1</v>
      </c>
      <c r="Q4" s="51">
        <f t="shared" si="3"/>
        <v>1</v>
      </c>
      <c r="R4" s="51">
        <f t="shared" si="3"/>
        <v>0</v>
      </c>
      <c r="S4" s="51">
        <f t="shared" si="3"/>
        <v>0</v>
      </c>
      <c r="T4" s="51">
        <f t="shared" si="3"/>
        <v>0</v>
      </c>
      <c r="U4" s="51">
        <f t="shared" si="3"/>
        <v>0</v>
      </c>
      <c r="V4" s="51">
        <f t="shared" si="3"/>
        <v>0</v>
      </c>
      <c r="W4" s="51">
        <f t="shared" si="3"/>
        <v>0</v>
      </c>
      <c r="X4" s="51">
        <f t="shared" si="3"/>
        <v>0</v>
      </c>
      <c r="Y4" s="52">
        <f t="shared" si="3"/>
        <v>0</v>
      </c>
    </row>
    <row r="5" spans="1:59" x14ac:dyDescent="0.25">
      <c r="A5">
        <f>A4+1</f>
        <v>3</v>
      </c>
      <c r="B5" s="49">
        <v>3</v>
      </c>
      <c r="C5" s="50">
        <f t="shared" si="1"/>
        <v>3</v>
      </c>
      <c r="E5" s="51">
        <f t="shared" ref="E5:Y5" si="4">SUM(E15:G15)</f>
        <v>0</v>
      </c>
      <c r="F5" s="51">
        <f t="shared" si="4"/>
        <v>0</v>
      </c>
      <c r="G5" s="51">
        <f t="shared" si="4"/>
        <v>0</v>
      </c>
      <c r="H5" s="51">
        <f t="shared" si="4"/>
        <v>0</v>
      </c>
      <c r="I5" s="51">
        <f t="shared" si="4"/>
        <v>0</v>
      </c>
      <c r="J5" s="51">
        <f t="shared" si="4"/>
        <v>0</v>
      </c>
      <c r="K5" s="51">
        <f t="shared" si="4"/>
        <v>0</v>
      </c>
      <c r="L5" s="51">
        <f t="shared" si="4"/>
        <v>0</v>
      </c>
      <c r="M5" s="51">
        <f t="shared" si="4"/>
        <v>0</v>
      </c>
      <c r="N5" s="51">
        <f t="shared" si="4"/>
        <v>0</v>
      </c>
      <c r="O5" s="51">
        <f t="shared" si="4"/>
        <v>0</v>
      </c>
      <c r="P5" s="51">
        <f t="shared" si="4"/>
        <v>0</v>
      </c>
      <c r="Q5" s="51">
        <f t="shared" si="4"/>
        <v>0</v>
      </c>
      <c r="R5" s="51">
        <f t="shared" si="4"/>
        <v>1</v>
      </c>
      <c r="S5" s="51">
        <f t="shared" si="4"/>
        <v>1</v>
      </c>
      <c r="T5" s="51">
        <f t="shared" si="4"/>
        <v>1</v>
      </c>
      <c r="U5" s="51">
        <f t="shared" si="4"/>
        <v>0</v>
      </c>
      <c r="V5" s="51">
        <f t="shared" si="4"/>
        <v>0</v>
      </c>
      <c r="W5" s="51">
        <f t="shared" si="4"/>
        <v>0</v>
      </c>
      <c r="X5" s="51">
        <f t="shared" si="4"/>
        <v>0</v>
      </c>
      <c r="Y5" s="52">
        <f t="shared" si="4"/>
        <v>0</v>
      </c>
    </row>
    <row r="6" spans="1:59" x14ac:dyDescent="0.25">
      <c r="A6">
        <f>A5+1</f>
        <v>4</v>
      </c>
      <c r="B6" s="49">
        <v>8</v>
      </c>
      <c r="C6" s="50">
        <f t="shared" si="1"/>
        <v>8</v>
      </c>
      <c r="E6" s="51">
        <f>SUM(E16:L16)</f>
        <v>0</v>
      </c>
      <c r="F6" s="51">
        <f t="shared" ref="F6:Y6" si="5">SUM(F16:M16)</f>
        <v>0</v>
      </c>
      <c r="G6" s="51">
        <f t="shared" si="5"/>
        <v>0</v>
      </c>
      <c r="H6" s="51">
        <f t="shared" si="5"/>
        <v>0</v>
      </c>
      <c r="I6" s="51">
        <f t="shared" si="5"/>
        <v>0</v>
      </c>
      <c r="J6" s="51">
        <f t="shared" si="5"/>
        <v>0</v>
      </c>
      <c r="K6" s="51">
        <f t="shared" si="5"/>
        <v>0</v>
      </c>
      <c r="L6" s="51">
        <f t="shared" si="5"/>
        <v>0</v>
      </c>
      <c r="M6" s="51">
        <f t="shared" si="5"/>
        <v>0</v>
      </c>
      <c r="N6" s="51">
        <f t="shared" si="5"/>
        <v>0</v>
      </c>
      <c r="O6" s="51">
        <f t="shared" si="5"/>
        <v>1</v>
      </c>
      <c r="P6" s="51">
        <f t="shared" si="5"/>
        <v>1</v>
      </c>
      <c r="Q6" s="51">
        <f t="shared" si="5"/>
        <v>1</v>
      </c>
      <c r="R6" s="51">
        <f t="shared" si="5"/>
        <v>1</v>
      </c>
      <c r="S6" s="51">
        <f t="shared" si="5"/>
        <v>1</v>
      </c>
      <c r="T6" s="51">
        <f t="shared" si="5"/>
        <v>1</v>
      </c>
      <c r="U6" s="51">
        <f t="shared" si="5"/>
        <v>1</v>
      </c>
      <c r="V6" s="51">
        <f t="shared" si="5"/>
        <v>1</v>
      </c>
      <c r="W6" s="51">
        <f t="shared" si="5"/>
        <v>0</v>
      </c>
      <c r="X6" s="51">
        <f t="shared" si="5"/>
        <v>0</v>
      </c>
      <c r="Y6" s="52">
        <f t="shared" si="5"/>
        <v>0</v>
      </c>
    </row>
    <row r="7" spans="1:59" x14ac:dyDescent="0.25">
      <c r="A7">
        <f>A6+1</f>
        <v>5</v>
      </c>
      <c r="B7" s="49">
        <v>5</v>
      </c>
      <c r="C7" s="50">
        <f t="shared" si="1"/>
        <v>5</v>
      </c>
      <c r="E7" s="51">
        <f>SUM(E17:I17)</f>
        <v>1</v>
      </c>
      <c r="F7" s="51">
        <f t="shared" ref="F7:Y7" si="6">SUM(F17:J17)</f>
        <v>1</v>
      </c>
      <c r="G7" s="51">
        <f t="shared" si="6"/>
        <v>1</v>
      </c>
      <c r="H7" s="51">
        <f t="shared" si="6"/>
        <v>1</v>
      </c>
      <c r="I7" s="51">
        <f t="shared" si="6"/>
        <v>1</v>
      </c>
      <c r="J7" s="51">
        <f t="shared" si="6"/>
        <v>0</v>
      </c>
      <c r="K7" s="51">
        <f t="shared" si="6"/>
        <v>0</v>
      </c>
      <c r="L7" s="51">
        <f t="shared" si="6"/>
        <v>0</v>
      </c>
      <c r="M7" s="51">
        <f t="shared" si="6"/>
        <v>0</v>
      </c>
      <c r="N7" s="51">
        <f t="shared" si="6"/>
        <v>0</v>
      </c>
      <c r="O7" s="51">
        <f t="shared" si="6"/>
        <v>0</v>
      </c>
      <c r="P7" s="51">
        <f t="shared" si="6"/>
        <v>0</v>
      </c>
      <c r="Q7" s="51">
        <f t="shared" si="6"/>
        <v>0</v>
      </c>
      <c r="R7" s="51">
        <f t="shared" si="6"/>
        <v>0</v>
      </c>
      <c r="S7" s="51">
        <f t="shared" si="6"/>
        <v>0</v>
      </c>
      <c r="T7" s="51">
        <f t="shared" si="6"/>
        <v>0</v>
      </c>
      <c r="U7" s="51">
        <f t="shared" si="6"/>
        <v>0</v>
      </c>
      <c r="V7" s="51">
        <f t="shared" si="6"/>
        <v>0</v>
      </c>
      <c r="W7" s="51">
        <f t="shared" si="6"/>
        <v>0</v>
      </c>
      <c r="X7" s="51">
        <f t="shared" si="6"/>
        <v>0</v>
      </c>
      <c r="Y7" s="52">
        <f t="shared" si="6"/>
        <v>0</v>
      </c>
    </row>
    <row r="8" spans="1:59" x14ac:dyDescent="0.25">
      <c r="A8">
        <f>A7+1</f>
        <v>6</v>
      </c>
      <c r="B8" s="53">
        <v>6</v>
      </c>
      <c r="C8" s="54">
        <f t="shared" si="1"/>
        <v>6</v>
      </c>
      <c r="E8" s="55">
        <f>SUM(E18:J18)</f>
        <v>1</v>
      </c>
      <c r="F8" s="55">
        <f t="shared" ref="F8:Y8" si="7">SUM(F18:K18)</f>
        <v>1</v>
      </c>
      <c r="G8" s="55">
        <f t="shared" si="7"/>
        <v>1</v>
      </c>
      <c r="H8" s="55">
        <f t="shared" si="7"/>
        <v>1</v>
      </c>
      <c r="I8" s="55">
        <f t="shared" si="7"/>
        <v>1</v>
      </c>
      <c r="J8" s="55">
        <f t="shared" si="7"/>
        <v>1</v>
      </c>
      <c r="K8" s="55">
        <f t="shared" si="7"/>
        <v>0</v>
      </c>
      <c r="L8" s="55">
        <f t="shared" si="7"/>
        <v>0</v>
      </c>
      <c r="M8" s="55">
        <f t="shared" si="7"/>
        <v>0</v>
      </c>
      <c r="N8" s="55">
        <f t="shared" si="7"/>
        <v>0</v>
      </c>
      <c r="O8" s="55">
        <f t="shared" si="7"/>
        <v>0</v>
      </c>
      <c r="P8" s="55">
        <f t="shared" si="7"/>
        <v>0</v>
      </c>
      <c r="Q8" s="55">
        <f t="shared" si="7"/>
        <v>0</v>
      </c>
      <c r="R8" s="55">
        <f t="shared" si="7"/>
        <v>0</v>
      </c>
      <c r="S8" s="55">
        <f t="shared" si="7"/>
        <v>0</v>
      </c>
      <c r="T8" s="55">
        <f t="shared" si="7"/>
        <v>0</v>
      </c>
      <c r="U8" s="55">
        <f t="shared" si="7"/>
        <v>0</v>
      </c>
      <c r="V8" s="55">
        <f t="shared" si="7"/>
        <v>0</v>
      </c>
      <c r="W8" s="55">
        <f t="shared" si="7"/>
        <v>0</v>
      </c>
      <c r="X8" s="55">
        <f t="shared" si="7"/>
        <v>0</v>
      </c>
      <c r="Y8" s="56">
        <f t="shared" si="7"/>
        <v>0</v>
      </c>
    </row>
    <row r="9" spans="1:59" ht="13" x14ac:dyDescent="0.3">
      <c r="E9" s="57">
        <f t="shared" ref="E9:Y9" si="8">SUM(E3:E8)</f>
        <v>2</v>
      </c>
      <c r="F9" s="58">
        <f t="shared" si="8"/>
        <v>2</v>
      </c>
      <c r="G9" s="58">
        <f t="shared" si="8"/>
        <v>2</v>
      </c>
      <c r="H9" s="58">
        <f t="shared" si="8"/>
        <v>2</v>
      </c>
      <c r="I9" s="58">
        <f t="shared" si="8"/>
        <v>2</v>
      </c>
      <c r="J9" s="58">
        <f t="shared" si="8"/>
        <v>2</v>
      </c>
      <c r="K9" s="58">
        <f t="shared" si="8"/>
        <v>2</v>
      </c>
      <c r="L9" s="58">
        <f t="shared" si="8"/>
        <v>2</v>
      </c>
      <c r="M9" s="58">
        <f t="shared" si="8"/>
        <v>2</v>
      </c>
      <c r="N9" s="58">
        <f t="shared" si="8"/>
        <v>2</v>
      </c>
      <c r="O9" s="58">
        <f t="shared" si="8"/>
        <v>2</v>
      </c>
      <c r="P9" s="58">
        <f t="shared" si="8"/>
        <v>2</v>
      </c>
      <c r="Q9" s="58">
        <f t="shared" si="8"/>
        <v>2</v>
      </c>
      <c r="R9" s="58">
        <f t="shared" si="8"/>
        <v>2</v>
      </c>
      <c r="S9" s="58">
        <f t="shared" si="8"/>
        <v>2</v>
      </c>
      <c r="T9" s="58">
        <f t="shared" si="8"/>
        <v>2</v>
      </c>
      <c r="U9" s="58">
        <f t="shared" si="8"/>
        <v>1</v>
      </c>
      <c r="V9" s="58">
        <f t="shared" si="8"/>
        <v>1</v>
      </c>
      <c r="W9" s="58">
        <f t="shared" si="8"/>
        <v>0</v>
      </c>
      <c r="X9" s="58">
        <f t="shared" si="8"/>
        <v>0</v>
      </c>
      <c r="Y9" s="59">
        <f t="shared" si="8"/>
        <v>0</v>
      </c>
      <c r="AG9" s="60"/>
      <c r="AH9" s="60"/>
      <c r="AI9" s="61" t="s">
        <v>19</v>
      </c>
      <c r="AJ9" s="62">
        <v>2</v>
      </c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</row>
    <row r="10" spans="1:59" x14ac:dyDescent="0.25"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</row>
    <row r="11" spans="1:59" ht="15" x14ac:dyDescent="0.4">
      <c r="B11" s="63" t="s">
        <v>20</v>
      </c>
      <c r="E11" s="44" t="s">
        <v>21</v>
      </c>
      <c r="AI11" s="63" t="s">
        <v>22</v>
      </c>
      <c r="AJ11" s="63" t="s">
        <v>23</v>
      </c>
      <c r="AK11" s="64" t="s">
        <v>24</v>
      </c>
    </row>
    <row r="12" spans="1:59" ht="13" x14ac:dyDescent="0.3">
      <c r="B12" s="44" t="s">
        <v>25</v>
      </c>
      <c r="D12" s="44" t="s">
        <v>18</v>
      </c>
      <c r="E12">
        <v>1</v>
      </c>
      <c r="F12">
        <f t="shared" ref="F12:Y12" si="9">E12+1</f>
        <v>2</v>
      </c>
      <c r="G12">
        <f t="shared" si="9"/>
        <v>3</v>
      </c>
      <c r="H12">
        <f t="shared" si="9"/>
        <v>4</v>
      </c>
      <c r="I12">
        <f t="shared" si="9"/>
        <v>5</v>
      </c>
      <c r="J12">
        <f t="shared" si="9"/>
        <v>6</v>
      </c>
      <c r="K12">
        <f t="shared" si="9"/>
        <v>7</v>
      </c>
      <c r="L12">
        <f t="shared" si="9"/>
        <v>8</v>
      </c>
      <c r="M12">
        <f t="shared" si="9"/>
        <v>9</v>
      </c>
      <c r="N12">
        <f t="shared" si="9"/>
        <v>10</v>
      </c>
      <c r="O12">
        <f t="shared" si="9"/>
        <v>11</v>
      </c>
      <c r="P12">
        <f t="shared" si="9"/>
        <v>12</v>
      </c>
      <c r="Q12">
        <f t="shared" si="9"/>
        <v>13</v>
      </c>
      <c r="R12">
        <f t="shared" si="9"/>
        <v>14</v>
      </c>
      <c r="S12">
        <f t="shared" si="9"/>
        <v>15</v>
      </c>
      <c r="T12">
        <f t="shared" si="9"/>
        <v>16</v>
      </c>
      <c r="U12">
        <f t="shared" si="9"/>
        <v>17</v>
      </c>
      <c r="V12">
        <f t="shared" si="9"/>
        <v>18</v>
      </c>
      <c r="W12">
        <f t="shared" si="9"/>
        <v>19</v>
      </c>
      <c r="X12">
        <f t="shared" si="9"/>
        <v>20</v>
      </c>
      <c r="Y12">
        <f t="shared" si="9"/>
        <v>21</v>
      </c>
      <c r="AI12" s="44" t="s">
        <v>26</v>
      </c>
      <c r="AJ12" s="44" t="s">
        <v>27</v>
      </c>
      <c r="AK12" s="65" t="s">
        <v>28</v>
      </c>
    </row>
    <row r="13" spans="1:59" x14ac:dyDescent="0.25">
      <c r="A13">
        <v>1</v>
      </c>
      <c r="B13" s="66">
        <v>8</v>
      </c>
      <c r="E13" s="67">
        <v>0</v>
      </c>
      <c r="F13" s="67">
        <v>0</v>
      </c>
      <c r="G13" s="67">
        <v>0</v>
      </c>
      <c r="H13" s="67">
        <v>0</v>
      </c>
      <c r="I13" s="67">
        <v>0</v>
      </c>
      <c r="J13" s="67">
        <v>0</v>
      </c>
      <c r="K13" s="67">
        <v>0</v>
      </c>
      <c r="L13" s="67">
        <v>0</v>
      </c>
      <c r="M13" s="67">
        <v>0</v>
      </c>
      <c r="N13" s="67">
        <v>1</v>
      </c>
      <c r="O13" s="67">
        <v>0</v>
      </c>
      <c r="P13" s="67">
        <v>0</v>
      </c>
      <c r="Q13" s="67">
        <v>0</v>
      </c>
      <c r="R13" s="67">
        <v>0</v>
      </c>
      <c r="S13" s="67">
        <v>0</v>
      </c>
      <c r="T13" s="67">
        <v>0</v>
      </c>
      <c r="U13" s="67">
        <v>0</v>
      </c>
      <c r="V13" s="67">
        <v>0</v>
      </c>
      <c r="W13" s="67">
        <v>0</v>
      </c>
      <c r="X13" s="67">
        <v>0</v>
      </c>
      <c r="Y13" s="67">
        <v>0</v>
      </c>
      <c r="AH13" s="48">
        <f t="shared" ref="AH13:AH18" si="10">SUM(E13:Y13)</f>
        <v>1</v>
      </c>
      <c r="AI13" s="47">
        <f t="shared" ref="AI13:AI18" si="11">SUMPRODUCT(E$12:Y$12,E13:Y13)</f>
        <v>10</v>
      </c>
      <c r="AJ13" s="48">
        <f t="shared" ref="AJ13:AJ18" si="12">AI13-B13</f>
        <v>2</v>
      </c>
      <c r="AK13" s="68">
        <v>2.000000000000008</v>
      </c>
    </row>
    <row r="14" spans="1:59" x14ac:dyDescent="0.25">
      <c r="A14">
        <f>A13+1</f>
        <v>2</v>
      </c>
      <c r="B14" s="69">
        <v>9</v>
      </c>
      <c r="E14" s="67">
        <v>0</v>
      </c>
      <c r="F14" s="67">
        <v>0</v>
      </c>
      <c r="G14" s="67">
        <v>0</v>
      </c>
      <c r="H14" s="67">
        <v>0</v>
      </c>
      <c r="I14" s="67">
        <v>0</v>
      </c>
      <c r="J14" s="67">
        <v>0</v>
      </c>
      <c r="K14" s="67">
        <v>0</v>
      </c>
      <c r="L14" s="67">
        <v>0</v>
      </c>
      <c r="M14" s="67">
        <v>0</v>
      </c>
      <c r="N14" s="67">
        <v>0</v>
      </c>
      <c r="O14" s="67">
        <v>0</v>
      </c>
      <c r="P14" s="67">
        <v>0</v>
      </c>
      <c r="Q14" s="67">
        <v>1</v>
      </c>
      <c r="R14" s="67">
        <v>0</v>
      </c>
      <c r="S14" s="67">
        <v>0</v>
      </c>
      <c r="T14" s="67">
        <v>0</v>
      </c>
      <c r="U14" s="67">
        <v>0</v>
      </c>
      <c r="V14" s="67">
        <v>0</v>
      </c>
      <c r="W14" s="67">
        <v>0</v>
      </c>
      <c r="X14" s="67">
        <v>0</v>
      </c>
      <c r="Y14" s="67">
        <v>0</v>
      </c>
      <c r="AH14" s="52">
        <f t="shared" si="10"/>
        <v>1</v>
      </c>
      <c r="AI14" s="51">
        <f t="shared" si="11"/>
        <v>13</v>
      </c>
      <c r="AJ14" s="52">
        <f t="shared" si="12"/>
        <v>4</v>
      </c>
      <c r="AK14" s="70">
        <v>3.9999999999999933</v>
      </c>
    </row>
    <row r="15" spans="1:59" x14ac:dyDescent="0.25">
      <c r="A15">
        <f>A14+1</f>
        <v>3</v>
      </c>
      <c r="B15" s="69">
        <v>17</v>
      </c>
      <c r="E15" s="67">
        <v>0</v>
      </c>
      <c r="F15" s="67">
        <v>0</v>
      </c>
      <c r="G15" s="67">
        <v>0</v>
      </c>
      <c r="H15" s="67">
        <v>0</v>
      </c>
      <c r="I15" s="67">
        <v>0</v>
      </c>
      <c r="J15" s="67">
        <v>0</v>
      </c>
      <c r="K15" s="67">
        <v>0</v>
      </c>
      <c r="L15" s="67">
        <v>0</v>
      </c>
      <c r="M15" s="67">
        <v>0</v>
      </c>
      <c r="N15" s="67">
        <v>0</v>
      </c>
      <c r="O15" s="67">
        <v>0</v>
      </c>
      <c r="P15" s="67">
        <v>0</v>
      </c>
      <c r="Q15" s="67">
        <v>0</v>
      </c>
      <c r="R15" s="67">
        <v>0</v>
      </c>
      <c r="S15" s="67">
        <v>0</v>
      </c>
      <c r="T15" s="67">
        <v>1</v>
      </c>
      <c r="U15" s="67">
        <v>0</v>
      </c>
      <c r="V15" s="67">
        <v>0</v>
      </c>
      <c r="W15" s="67">
        <v>0</v>
      </c>
      <c r="X15" s="67">
        <v>0</v>
      </c>
      <c r="Y15" s="67">
        <v>0</v>
      </c>
      <c r="AH15" s="52">
        <f t="shared" si="10"/>
        <v>1</v>
      </c>
      <c r="AI15" s="51">
        <f t="shared" si="11"/>
        <v>16</v>
      </c>
      <c r="AJ15" s="52">
        <f t="shared" si="12"/>
        <v>-1</v>
      </c>
      <c r="AK15" s="70">
        <v>0</v>
      </c>
    </row>
    <row r="16" spans="1:59" x14ac:dyDescent="0.25">
      <c r="A16">
        <f>A15+1</f>
        <v>4</v>
      </c>
      <c r="B16" s="69">
        <v>15</v>
      </c>
      <c r="E16" s="67">
        <v>0</v>
      </c>
      <c r="F16" s="67">
        <v>0</v>
      </c>
      <c r="G16" s="67">
        <v>0</v>
      </c>
      <c r="H16" s="67">
        <v>0</v>
      </c>
      <c r="I16" s="67">
        <v>0</v>
      </c>
      <c r="J16" s="67">
        <v>0</v>
      </c>
      <c r="K16" s="67">
        <v>0</v>
      </c>
      <c r="L16" s="67">
        <v>0</v>
      </c>
      <c r="M16" s="67">
        <v>0</v>
      </c>
      <c r="N16" s="67">
        <v>0</v>
      </c>
      <c r="O16" s="67">
        <v>0</v>
      </c>
      <c r="P16" s="67">
        <v>0</v>
      </c>
      <c r="Q16" s="67">
        <v>0</v>
      </c>
      <c r="R16" s="67">
        <v>0</v>
      </c>
      <c r="S16" s="67">
        <v>0</v>
      </c>
      <c r="T16" s="67">
        <v>0</v>
      </c>
      <c r="U16" s="67">
        <v>0</v>
      </c>
      <c r="V16" s="67">
        <v>1</v>
      </c>
      <c r="W16" s="67">
        <v>0</v>
      </c>
      <c r="X16" s="67">
        <v>0</v>
      </c>
      <c r="Y16" s="67">
        <v>0</v>
      </c>
      <c r="AH16" s="52">
        <f t="shared" si="10"/>
        <v>1</v>
      </c>
      <c r="AI16" s="51">
        <f t="shared" si="11"/>
        <v>18</v>
      </c>
      <c r="AJ16" s="52">
        <f t="shared" si="12"/>
        <v>3</v>
      </c>
      <c r="AK16" s="70">
        <v>2.9999999999999885</v>
      </c>
    </row>
    <row r="17" spans="1:37" x14ac:dyDescent="0.25">
      <c r="A17">
        <f>A16+1</f>
        <v>5</v>
      </c>
      <c r="B17" s="69">
        <v>6</v>
      </c>
      <c r="E17" s="67">
        <v>0</v>
      </c>
      <c r="F17" s="67">
        <v>0</v>
      </c>
      <c r="G17" s="67">
        <v>0</v>
      </c>
      <c r="H17" s="67">
        <v>0</v>
      </c>
      <c r="I17" s="67">
        <v>1</v>
      </c>
      <c r="J17" s="67">
        <v>0</v>
      </c>
      <c r="K17" s="67">
        <v>0</v>
      </c>
      <c r="L17" s="67">
        <v>0</v>
      </c>
      <c r="M17" s="67">
        <v>0</v>
      </c>
      <c r="N17" s="67">
        <v>0</v>
      </c>
      <c r="O17" s="67">
        <v>0</v>
      </c>
      <c r="P17" s="67">
        <v>0</v>
      </c>
      <c r="Q17" s="67">
        <v>0</v>
      </c>
      <c r="R17" s="67">
        <v>0</v>
      </c>
      <c r="S17" s="67">
        <v>0</v>
      </c>
      <c r="T17" s="67">
        <v>0</v>
      </c>
      <c r="U17" s="67">
        <v>0</v>
      </c>
      <c r="V17" s="67">
        <v>0</v>
      </c>
      <c r="W17" s="67">
        <v>0</v>
      </c>
      <c r="X17" s="67">
        <v>0</v>
      </c>
      <c r="Y17" s="67">
        <v>0</v>
      </c>
      <c r="AH17" s="52">
        <f t="shared" si="10"/>
        <v>1</v>
      </c>
      <c r="AI17" s="51">
        <f t="shared" si="11"/>
        <v>5</v>
      </c>
      <c r="AJ17" s="52">
        <f t="shared" si="12"/>
        <v>-1</v>
      </c>
      <c r="AK17" s="70">
        <v>0</v>
      </c>
    </row>
    <row r="18" spans="1:37" x14ac:dyDescent="0.25">
      <c r="A18">
        <f>A17+1</f>
        <v>6</v>
      </c>
      <c r="B18" s="71">
        <v>8</v>
      </c>
      <c r="E18" s="67">
        <v>0</v>
      </c>
      <c r="F18" s="67">
        <v>0</v>
      </c>
      <c r="G18" s="67">
        <v>0</v>
      </c>
      <c r="H18" s="67">
        <v>0</v>
      </c>
      <c r="I18" s="67">
        <v>0</v>
      </c>
      <c r="J18" s="67">
        <v>1</v>
      </c>
      <c r="K18" s="67">
        <v>0</v>
      </c>
      <c r="L18" s="67">
        <v>0</v>
      </c>
      <c r="M18" s="67">
        <v>0</v>
      </c>
      <c r="N18" s="67">
        <v>0</v>
      </c>
      <c r="O18" s="67">
        <v>0</v>
      </c>
      <c r="P18" s="67">
        <v>0</v>
      </c>
      <c r="Q18" s="67">
        <v>0</v>
      </c>
      <c r="R18" s="67">
        <v>0</v>
      </c>
      <c r="S18" s="67">
        <v>0</v>
      </c>
      <c r="T18" s="67">
        <v>0</v>
      </c>
      <c r="U18" s="67">
        <v>0</v>
      </c>
      <c r="V18" s="67">
        <v>0</v>
      </c>
      <c r="W18" s="67">
        <v>0</v>
      </c>
      <c r="X18" s="67">
        <v>0</v>
      </c>
      <c r="Y18" s="67">
        <v>0</v>
      </c>
      <c r="AH18" s="56">
        <f t="shared" si="10"/>
        <v>1</v>
      </c>
      <c r="AI18" s="55">
        <f t="shared" si="11"/>
        <v>6</v>
      </c>
      <c r="AJ18" s="56">
        <f t="shared" si="12"/>
        <v>-2</v>
      </c>
      <c r="AK18" s="72">
        <v>0</v>
      </c>
    </row>
    <row r="19" spans="1:37" x14ac:dyDescent="0.25">
      <c r="AK19" s="73">
        <f>SUM(AK13:AK18)</f>
        <v>8.9999999999999893</v>
      </c>
    </row>
    <row r="20" spans="1:37" ht="13" x14ac:dyDescent="0.3">
      <c r="D20" s="44" t="s">
        <v>29</v>
      </c>
    </row>
    <row r="21" spans="1:37" ht="13" x14ac:dyDescent="0.3">
      <c r="D21" s="44" t="s">
        <v>30</v>
      </c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</sheetData>
  <conditionalFormatting sqref="E3:Y8">
    <cfRule type="cellIs" dxfId="0" priority="1" stopIfTrue="1" operator="equal">
      <formula>1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Nest selection small</vt:lpstr>
      <vt:lpstr>Nest selection large</vt:lpstr>
      <vt:lpstr>AggregatePlanningProdCtrlExmpl</vt:lpstr>
    </vt:vector>
  </TitlesOfParts>
  <Company>Helsinki University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Esko Niemi</dc:creator>
  <cp:lastModifiedBy>Niemi Esko</cp:lastModifiedBy>
  <cp:lastPrinted>2003-02-19T07:58:42Z</cp:lastPrinted>
  <dcterms:created xsi:type="dcterms:W3CDTF">2003-02-10T13:12:39Z</dcterms:created>
  <dcterms:modified xsi:type="dcterms:W3CDTF">2023-01-17T09:39:58Z</dcterms:modified>
</cp:coreProperties>
</file>