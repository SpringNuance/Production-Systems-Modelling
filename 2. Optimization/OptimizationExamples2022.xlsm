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embeddings/oleObject2.bin" ContentType="application/vnd.openxmlformats-officedocument.oleObject"/>
  <Override PartName="/xl/drawings/drawing3.xml" ContentType="application/vnd.openxmlformats-officedocument.drawing+xml"/>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ome.org.aalto.fi\eniemi\data\Documents\Kurssit\MEC-E7001\"/>
    </mc:Choice>
  </mc:AlternateContent>
  <xr:revisionPtr revIDLastSave="0" documentId="8_{C41C0E1B-D294-4276-9B74-0CC517DD4A05}" xr6:coauthVersionLast="47" xr6:coauthVersionMax="47" xr10:uidLastSave="{00000000-0000-0000-0000-000000000000}"/>
  <bookViews>
    <workbookView xWindow="-110" yWindow="-110" windowWidth="19420" windowHeight="10420" tabRatio="598" xr2:uid="{00000000-000D-0000-FFFF-FFFF00000000}"/>
  </bookViews>
  <sheets>
    <sheet name="Basic problem" sheetId="43" r:id="rId1"/>
    <sheet name="Job allocation" sheetId="41" r:id="rId2"/>
    <sheet name="Job allocation w. Fixed cost" sheetId="42" r:id="rId3"/>
    <sheet name="ProdCtrlExample" sheetId="29" r:id="rId4"/>
  </sheets>
  <definedNames>
    <definedName name="anscount" hidden="1">1</definedName>
    <definedName name="limcount" hidden="1">1</definedName>
    <definedName name="lslpeng_crash" localSheetId="3" hidden="1">0</definedName>
    <definedName name="_xlnm.Print_Area" localSheetId="0">'Basic problem'!$A$1:$I$40</definedName>
    <definedName name="sencount" hidden="1">1</definedName>
    <definedName name="solver_adj" localSheetId="0" hidden="1">'Basic problem'!$D$8:$E$8</definedName>
    <definedName name="solver_adj" localSheetId="1" hidden="1">'Job allocation'!$C$18:$E$23</definedName>
    <definedName name="solver_adj" localSheetId="2" hidden="1">'Job allocation w. Fixed cost'!$C$18:$E$23,'Job allocation w. Fixed cost'!$H$18:$J$23</definedName>
    <definedName name="solver_adj" localSheetId="3" hidden="1">ProdCtrlExample!$E$13:$Y$18</definedName>
    <definedName name="solver_cct" localSheetId="0" hidden="1">20</definedName>
    <definedName name="solver_cct" localSheetId="1" hidden="1">20</definedName>
    <definedName name="solver_cct" localSheetId="2" hidden="1">20</definedName>
    <definedName name="solver_cct" localSheetId="3" hidden="1">20</definedName>
    <definedName name="solver_cgt" localSheetId="0" hidden="1">1</definedName>
    <definedName name="solver_cgt" localSheetId="1" hidden="1">1</definedName>
    <definedName name="solver_cgt" localSheetId="2" hidden="1">1</definedName>
    <definedName name="solver_cgt" localSheetId="3" hidden="1">1</definedName>
    <definedName name="solver_cir1" localSheetId="0" hidden="1">1</definedName>
    <definedName name="solver_cir1" localSheetId="1" hidden="1">1</definedName>
    <definedName name="solver_cir1" localSheetId="2" hidden="1">1</definedName>
    <definedName name="solver_cir1" localSheetId="3" hidden="1">1</definedName>
    <definedName name="solver_cir10" localSheetId="3" hidden="1">1</definedName>
    <definedName name="solver_cir11" localSheetId="3" hidden="1">1</definedName>
    <definedName name="solver_cir12" localSheetId="3" hidden="1">1</definedName>
    <definedName name="solver_cir2" localSheetId="1" hidden="1">1</definedName>
    <definedName name="solver_cir2" localSheetId="2" hidden="1">1</definedName>
    <definedName name="solver_cir2" localSheetId="3" hidden="1">1</definedName>
    <definedName name="solver_cir3" localSheetId="1" hidden="1">1</definedName>
    <definedName name="solver_cir3" localSheetId="2" hidden="1">1</definedName>
    <definedName name="solver_cir3" localSheetId="3" hidden="1">1</definedName>
    <definedName name="solver_cir4" localSheetId="3" hidden="1">1</definedName>
    <definedName name="solver_cir5" localSheetId="3" hidden="1">1</definedName>
    <definedName name="solver_cir6" localSheetId="3" hidden="1">1</definedName>
    <definedName name="solver_cir7" localSheetId="3" hidden="1">1</definedName>
    <definedName name="solver_cir8" localSheetId="3" hidden="1">1</definedName>
    <definedName name="solver_cir9" localSheetId="3" hidden="1">1</definedName>
    <definedName name="solver_con1" localSheetId="1" hidden="1">"Ei negatiivisia valmistusmääriä"</definedName>
    <definedName name="solver_con1" localSheetId="2" hidden="1">"Ei negatiivisia valmistusmääriä"</definedName>
    <definedName name="solver_con2" localSheetId="1" hidden="1">"Kapasiteettiraja"</definedName>
    <definedName name="solver_con2" localSheetId="2" hidden="1">"Kapasiteettiraja"</definedName>
    <definedName name="solver_con3" localSheetId="1" hidden="1">"Valmistusmäärät"</definedName>
    <definedName name="solver_con3" localSheetId="2" hidden="1">"Valmistusmäärät"</definedName>
    <definedName name="solver_cvg" localSheetId="0" hidden="1">0.0001</definedName>
    <definedName name="solver_cvg" localSheetId="1" hidden="1">0.001</definedName>
    <definedName name="solver_cvg" localSheetId="2" hidden="1">0.001</definedName>
    <definedName name="solver_cvg" localSheetId="3" hidden="1">0.0001</definedName>
    <definedName name="solver_dia" localSheetId="0" hidden="1">4</definedName>
    <definedName name="solver_dia" localSheetId="1" hidden="1">4</definedName>
    <definedName name="solver_dia" localSheetId="2" hidden="1">4</definedName>
    <definedName name="solver_dia" localSheetId="3" hidden="1">4</definedName>
    <definedName name="solver_drv" localSheetId="0" hidden="1">1</definedName>
    <definedName name="solver_drv" localSheetId="1" hidden="1">1</definedName>
    <definedName name="solver_drv" localSheetId="2" hidden="1">1</definedName>
    <definedName name="solver_drv" localSheetId="3" hidden="1">1</definedName>
    <definedName name="solver_dua" localSheetId="0" hidden="1">1</definedName>
    <definedName name="solver_dua" localSheetId="1" hidden="1">1</definedName>
    <definedName name="solver_dua" localSheetId="2" hidden="1">1</definedName>
    <definedName name="solver_dua" localSheetId="3" hidden="1">1</definedName>
    <definedName name="solver_eng" localSheetId="0" hidden="1">2</definedName>
    <definedName name="solver_eng" localSheetId="1" hidden="1">2</definedName>
    <definedName name="solver_eng" localSheetId="2" hidden="1">2</definedName>
    <definedName name="solver_eng" localSheetId="3" hidden="1">2</definedName>
    <definedName name="solver_est" localSheetId="0" hidden="1">1</definedName>
    <definedName name="solver_est" localSheetId="1" hidden="1">1</definedName>
    <definedName name="solver_est" localSheetId="2" hidden="1">1</definedName>
    <definedName name="solver_est" localSheetId="3" hidden="1">1</definedName>
    <definedName name="solver_fns" localSheetId="3" hidden="1">0</definedName>
    <definedName name="solver_gct" localSheetId="0" hidden="1">20</definedName>
    <definedName name="solver_gct" localSheetId="1" hidden="1">20</definedName>
    <definedName name="solver_gct" localSheetId="2" hidden="1">20</definedName>
    <definedName name="solver_gct" localSheetId="3" hidden="1">20</definedName>
    <definedName name="solver_gop" localSheetId="0" hidden="1">1</definedName>
    <definedName name="solver_gop" localSheetId="1" hidden="1">1</definedName>
    <definedName name="solver_gop" localSheetId="2" hidden="1">1</definedName>
    <definedName name="solver_gop" localSheetId="3" hidden="1">1</definedName>
    <definedName name="solver_iao" localSheetId="0" hidden="1">0</definedName>
    <definedName name="solver_iao" localSheetId="1" hidden="1">0</definedName>
    <definedName name="solver_iao" localSheetId="2" hidden="1">0</definedName>
    <definedName name="solver_iao" localSheetId="3" hidden="1">0</definedName>
    <definedName name="solver_ibd" localSheetId="0" hidden="1">2</definedName>
    <definedName name="solver_ibd" localSheetId="1" hidden="1">2</definedName>
    <definedName name="solver_ibd" localSheetId="2" hidden="1">2</definedName>
    <definedName name="solver_ibd" localSheetId="3" hidden="1">2</definedName>
    <definedName name="solver_ifs" localSheetId="0" hidden="1">0</definedName>
    <definedName name="solver_ifs" localSheetId="1" hidden="1">0</definedName>
    <definedName name="solver_ifs" localSheetId="2" hidden="1">0</definedName>
    <definedName name="solver_ifs" localSheetId="3" hidden="1">0</definedName>
    <definedName name="solver_irs" localSheetId="0" hidden="1">0</definedName>
    <definedName name="solver_irs" localSheetId="1" hidden="1">0</definedName>
    <definedName name="solver_irs" localSheetId="2" hidden="1">0</definedName>
    <definedName name="solver_irs" localSheetId="3" hidden="1">0</definedName>
    <definedName name="solver_ism" localSheetId="0" hidden="1">0</definedName>
    <definedName name="solver_ism" localSheetId="1" hidden="1">0</definedName>
    <definedName name="solver_ism" localSheetId="2" hidden="1">0</definedName>
    <definedName name="solver_ism" localSheetId="3" hidden="1">0</definedName>
    <definedName name="solver_itr" localSheetId="0" hidden="1">1000</definedName>
    <definedName name="solver_itr" localSheetId="1" hidden="1">100</definedName>
    <definedName name="solver_itr" localSheetId="2" hidden="1">100</definedName>
    <definedName name="solver_itr" localSheetId="3" hidden="1">1000</definedName>
    <definedName name="solver_lhs1" localSheetId="0" hidden="1">'Basic problem'!$F$4:$F$6</definedName>
    <definedName name="solver_lhs1" localSheetId="1" hidden="1">'Job allocation'!$C$33:$E$33</definedName>
    <definedName name="solver_lhs1" localSheetId="2" hidden="1">'Job allocation w. Fixed cost'!$C$33:$E$33</definedName>
    <definedName name="solver_lhs1" localSheetId="3" hidden="1">ProdCtrlExample!$B$3:$B$8</definedName>
    <definedName name="solver_lhs10" localSheetId="3" hidden="1">ProdCtrlExample!$E$13:$Y$18</definedName>
    <definedName name="solver_lhs11" localSheetId="3" hidden="1">ProdCtrlExample!$E$20:$Y$25</definedName>
    <definedName name="solver_lhs12" localSheetId="3" hidden="1">ProdCtrlExample!$E$3:$Y$8</definedName>
    <definedName name="solver_lhs2" localSheetId="1" hidden="1">'Job allocation'!$F$18:$F$23</definedName>
    <definedName name="solver_lhs2" localSheetId="2" hidden="1">'Job allocation w. Fixed cost'!$F$18:$F$23</definedName>
    <definedName name="solver_lhs2" localSheetId="3" hidden="1">ProdCtrlExample!$AC$13:$AC$18</definedName>
    <definedName name="solver_lhs3" localSheetId="1" hidden="1">'Job allocation'!$F$18:$F$23</definedName>
    <definedName name="solver_lhs3" localSheetId="2" hidden="1">'Job allocation w. Fixed cost'!$H$18:$J$23</definedName>
    <definedName name="solver_lhs3" localSheetId="3" hidden="1">ProdCtrlExample!$E$13:$Y$18</definedName>
    <definedName name="solver_lhs4" localSheetId="2" hidden="1">'Job allocation w. Fixed cost'!$L$18:$N$23</definedName>
    <definedName name="solver_lhs4" localSheetId="3" hidden="1">ProdCtrlExample!$E$9:$Y$9</definedName>
    <definedName name="solver_lhs5" localSheetId="2" hidden="1">'Job allocation w. Fixed cost'!$L$18:$N$23</definedName>
    <definedName name="solver_lhs5" localSheetId="3" hidden="1">ProdCtrlExample!$E$9:$Y$9</definedName>
    <definedName name="solver_lhs6" localSheetId="3" hidden="1">ProdCtrlExample!$AD$13:$AD$18</definedName>
    <definedName name="solver_lhs7" localSheetId="3" hidden="1">ProdCtrlExample!#REF!</definedName>
    <definedName name="solver_lhs8" localSheetId="3" hidden="1">ProdCtrlExample!$E$13:$Y$18</definedName>
    <definedName name="solver_lhs9" localSheetId="3" hidden="1">ProdCtrlExample!$E$13:$Y$18</definedName>
    <definedName name="solver_lin" localSheetId="0" hidden="1">1</definedName>
    <definedName name="solver_lin" localSheetId="1" hidden="1">1</definedName>
    <definedName name="solver_lin" localSheetId="2" hidden="1">1</definedName>
    <definedName name="solver_lin" localSheetId="3" hidden="1">1</definedName>
    <definedName name="solver_loc" localSheetId="3" hidden="1">4</definedName>
    <definedName name="solver_lva" localSheetId="3" hidden="1">2</definedName>
    <definedName name="solver_mip" localSheetId="0" hidden="1">1000</definedName>
    <definedName name="solver_mip" localSheetId="1" hidden="1">1000</definedName>
    <definedName name="solver_mip" localSheetId="2" hidden="1">1000</definedName>
    <definedName name="solver_mip" localSheetId="3" hidden="1">1000</definedName>
    <definedName name="solver_mni" localSheetId="0" hidden="1">30</definedName>
    <definedName name="solver_mni" localSheetId="1" hidden="1">30</definedName>
    <definedName name="solver_mni" localSheetId="2" hidden="1">30</definedName>
    <definedName name="solver_mni" localSheetId="3" hidden="1">30</definedName>
    <definedName name="solver_mod" localSheetId="0" hidden="1">4</definedName>
    <definedName name="solver_mod" localSheetId="1" hidden="1">4</definedName>
    <definedName name="solver_mod" localSheetId="2" hidden="1">4</definedName>
    <definedName name="solver_mod" localSheetId="3" hidden="1">4</definedName>
    <definedName name="solver_mrt" localSheetId="0" hidden="1">0.075</definedName>
    <definedName name="solver_mrt" localSheetId="1" hidden="1">"""""""""""""""0,075"""""""""""""""</definedName>
    <definedName name="solver_mrt" localSheetId="2" hidden="1">0.075</definedName>
    <definedName name="solver_mrt" localSheetId="3" hidden="1">0.075</definedName>
    <definedName name="solver_msl" localSheetId="0" hidden="1">2</definedName>
    <definedName name="solver_msl" localSheetId="1" hidden="1">2</definedName>
    <definedName name="solver_msl" localSheetId="2" hidden="1">2</definedName>
    <definedName name="solver_msl" localSheetId="3" hidden="1">2</definedName>
    <definedName name="solver_neg" localSheetId="0" hidden="1">1</definedName>
    <definedName name="solver_neg" localSheetId="1" hidden="1">1</definedName>
    <definedName name="solver_neg" localSheetId="2" hidden="1">1</definedName>
    <definedName name="solver_neg" localSheetId="3" hidden="1">1</definedName>
    <definedName name="solver_nod" localSheetId="0" hidden="1">1000</definedName>
    <definedName name="solver_nod" localSheetId="1" hidden="1">1000</definedName>
    <definedName name="solver_nod" localSheetId="2" hidden="1">1000</definedName>
    <definedName name="solver_nod" localSheetId="3" hidden="1">1000</definedName>
    <definedName name="solver_num" localSheetId="0" hidden="1">1</definedName>
    <definedName name="solver_num" localSheetId="1" hidden="1">2</definedName>
    <definedName name="solver_num" localSheetId="2" hidden="1">4</definedName>
    <definedName name="solver_num" localSheetId="3" hidden="1">4</definedName>
    <definedName name="solver_nwt" localSheetId="0" hidden="1">1</definedName>
    <definedName name="solver_nwt" localSheetId="1" hidden="1">1</definedName>
    <definedName name="solver_nwt" localSheetId="2" hidden="1">1</definedName>
    <definedName name="solver_nwt" localSheetId="3" hidden="1">1</definedName>
    <definedName name="solver_ofx" localSheetId="0" hidden="1">2</definedName>
    <definedName name="solver_ofx" localSheetId="1" hidden="1">2</definedName>
    <definedName name="solver_ofx" localSheetId="2" hidden="1">2</definedName>
    <definedName name="solver_ofx" localSheetId="3" hidden="1">2</definedName>
    <definedName name="solver_opt" localSheetId="0" hidden="1">'Basic problem'!$F$7</definedName>
    <definedName name="solver_opt" localSheetId="1" hidden="1">'Job allocation'!$F$33</definedName>
    <definedName name="solver_opt" localSheetId="2" hidden="1">'Job allocation w. Fixed cost'!$F$33</definedName>
    <definedName name="solver_opt" localSheetId="3" hidden="1">ProdCtrlExample!$AF$19</definedName>
    <definedName name="solver_phr" localSheetId="0" hidden="1">2</definedName>
    <definedName name="solver_phr" localSheetId="1" hidden="1">2</definedName>
    <definedName name="solver_phr" localSheetId="2" hidden="1">2</definedName>
    <definedName name="solver_phr" localSheetId="3" hidden="1">2</definedName>
    <definedName name="solver_piv" localSheetId="0" hidden="1">0.000001</definedName>
    <definedName name="solver_piv" localSheetId="1" hidden="1">0.000001</definedName>
    <definedName name="solver_piv" localSheetId="2" hidden="1">0.000001</definedName>
    <definedName name="solver_piv" localSheetId="3" hidden="1">0.000001</definedName>
    <definedName name="solver_pre" localSheetId="0" hidden="1">0.00000001</definedName>
    <definedName name="solver_pre" localSheetId="1" hidden="1">0.000001</definedName>
    <definedName name="solver_pre" localSheetId="2" hidden="1">0.000001</definedName>
    <definedName name="solver_pre" localSheetId="3" hidden="1">0.00000001</definedName>
    <definedName name="solver_pro" localSheetId="0" hidden="1">2</definedName>
    <definedName name="solver_pro" localSheetId="1" hidden="1">2</definedName>
    <definedName name="solver_pro" localSheetId="2" hidden="1">2</definedName>
    <definedName name="solver_pro" localSheetId="3" hidden="1">2</definedName>
    <definedName name="solver_rbv" localSheetId="0" hidden="1">1</definedName>
    <definedName name="solver_rbv" localSheetId="1" hidden="1">1</definedName>
    <definedName name="solver_rbv" localSheetId="2" hidden="1">1</definedName>
    <definedName name="solver_rbv" localSheetId="3" hidden="1">1</definedName>
    <definedName name="solver_rdp" localSheetId="0" hidden="1">0</definedName>
    <definedName name="solver_rdp" localSheetId="1" hidden="1">0</definedName>
    <definedName name="solver_rdp" localSheetId="2" hidden="1">0</definedName>
    <definedName name="solver_rdp" localSheetId="3" hidden="1">0</definedName>
    <definedName name="solver_red" localSheetId="0" hidden="1">0.000001</definedName>
    <definedName name="solver_red" localSheetId="1" hidden="1">0.000001</definedName>
    <definedName name="solver_red" localSheetId="2" hidden="1">0.000001</definedName>
    <definedName name="solver_red" localSheetId="3" hidden="1">0.000001</definedName>
    <definedName name="solver_rel1" localSheetId="0" hidden="1">1</definedName>
    <definedName name="solver_rel1" localSheetId="1" hidden="1">1</definedName>
    <definedName name="solver_rel1" localSheetId="2" hidden="1">1</definedName>
    <definedName name="solver_rel1" localSheetId="3" hidden="1">2</definedName>
    <definedName name="solver_rel10" localSheetId="3" hidden="1">5</definedName>
    <definedName name="solver_rel11" localSheetId="3" hidden="1">3</definedName>
    <definedName name="solver_rel12" localSheetId="3" hidden="1">5</definedName>
    <definedName name="solver_rel2" localSheetId="1" hidden="1">3</definedName>
    <definedName name="solver_rel2" localSheetId="2" hidden="1">3</definedName>
    <definedName name="solver_rel2" localSheetId="3" hidden="1">2</definedName>
    <definedName name="solver_rel3" localSheetId="1" hidden="1">2</definedName>
    <definedName name="solver_rel3" localSheetId="2" hidden="1">5</definedName>
    <definedName name="solver_rel3" localSheetId="3" hidden="1">5</definedName>
    <definedName name="solver_rel4" localSheetId="2" hidden="1">3</definedName>
    <definedName name="solver_rel4" localSheetId="3" hidden="1">1</definedName>
    <definedName name="solver_rel5" localSheetId="2" hidden="1">3</definedName>
    <definedName name="solver_rel5" localSheetId="3" hidden="1">1</definedName>
    <definedName name="solver_rel6" localSheetId="3" hidden="1">3</definedName>
    <definedName name="solver_rel7" localSheetId="3" hidden="1">3</definedName>
    <definedName name="solver_rel8" localSheetId="3" hidden="1">5</definedName>
    <definedName name="solver_rel9" localSheetId="3" hidden="1">5</definedName>
    <definedName name="solver_reo" localSheetId="0" hidden="1">2</definedName>
    <definedName name="solver_reo" localSheetId="3" hidden="1">1</definedName>
    <definedName name="solver_rep" localSheetId="0" hidden="1">2</definedName>
    <definedName name="solver_rep" localSheetId="1" hidden="1">2</definedName>
    <definedName name="solver_rep" localSheetId="2" hidden="1">2</definedName>
    <definedName name="solver_rep" localSheetId="3" hidden="1">2</definedName>
    <definedName name="solver_rhs1" localSheetId="0" hidden="1">'Basic problem'!$H$4:$H$6</definedName>
    <definedName name="solver_rhs1" localSheetId="1" hidden="1">'Job allocation'!$C$15:$E$15</definedName>
    <definedName name="solver_rhs1" localSheetId="2" hidden="1">'Job allocation w. Fixed cost'!$C$15:$E$15</definedName>
    <definedName name="solver_rhs1" localSheetId="3" hidden="1">ProdCtrlExample!$C$3:$C$8</definedName>
    <definedName name="solver_rhs10" localSheetId="3" hidden="1">binary</definedName>
    <definedName name="solver_rhs11" localSheetId="3" hidden="1">0</definedName>
    <definedName name="solver_rhs12" localSheetId="3" hidden="1">binary</definedName>
    <definedName name="solver_rhs2" localSheetId="1" hidden="1">'Job allocation'!$F$9:$F$14</definedName>
    <definedName name="solver_rhs2" localSheetId="2" hidden="1">'Job allocation w. Fixed cost'!$F$9:$F$14</definedName>
    <definedName name="solver_rhs2" localSheetId="3" hidden="1">1</definedName>
    <definedName name="solver_rhs3" localSheetId="1" hidden="1">'Job allocation'!$F$9:$F$14</definedName>
    <definedName name="solver_rhs3" localSheetId="2" hidden="1">"binary"</definedName>
    <definedName name="solver_rhs3" localSheetId="3" hidden="1">binary</definedName>
    <definedName name="solver_rhs4" localSheetId="2" hidden="1">'Job allocation w. Fixed cost'!$C$18:$E$23</definedName>
    <definedName name="solver_rhs4" localSheetId="3" hidden="1">1</definedName>
    <definedName name="solver_rhs5" localSheetId="2" hidden="1">'Job allocation w. Fixed cost'!$C$18:$E$23</definedName>
    <definedName name="solver_rhs5" localSheetId="3" hidden="1">1</definedName>
    <definedName name="solver_rhs6" localSheetId="3" hidden="1">ProdCtrlExample!$AF$13:$AF$18</definedName>
    <definedName name="solver_rhs7" localSheetId="3" hidden="1">0</definedName>
    <definedName name="solver_rhs8" localSheetId="3" hidden="1">binary</definedName>
    <definedName name="solver_rhs9" localSheetId="3" hidden="1">binary</definedName>
    <definedName name="solver_rlx" localSheetId="0" hidden="1">2</definedName>
    <definedName name="solver_rlx" localSheetId="1" hidden="1">2</definedName>
    <definedName name="solver_rlx" localSheetId="2" hidden="1">2</definedName>
    <definedName name="solver_rlx" localSheetId="3" hidden="1">2</definedName>
    <definedName name="solver_rsd" localSheetId="0" hidden="1">0</definedName>
    <definedName name="solver_rsd" localSheetId="1" hidden="1">0</definedName>
    <definedName name="solver_rsd" localSheetId="2" hidden="1">0</definedName>
    <definedName name="solver_rsp" localSheetId="0" hidden="1">0</definedName>
    <definedName name="solver_rsp" localSheetId="1" hidden="1">0</definedName>
    <definedName name="solver_rsp" localSheetId="2" hidden="1">0</definedName>
    <definedName name="solver_rsp" localSheetId="3" hidden="1">0</definedName>
    <definedName name="solver_scl" localSheetId="0" hidden="1">2</definedName>
    <definedName name="solver_scl" localSheetId="1" hidden="1">2</definedName>
    <definedName name="solver_scl" localSheetId="2" hidden="1">2</definedName>
    <definedName name="solver_scl" localSheetId="3" hidden="1">2</definedName>
    <definedName name="solver_sel" localSheetId="0" hidden="1">1</definedName>
    <definedName name="solver_sel" localSheetId="1" hidden="1">1</definedName>
    <definedName name="solver_sel" localSheetId="2" hidden="1">1</definedName>
    <definedName name="solver_sel" localSheetId="3" hidden="1">1</definedName>
    <definedName name="solver_sho" localSheetId="0" hidden="1">2</definedName>
    <definedName name="solver_sho" localSheetId="1" hidden="1">2</definedName>
    <definedName name="solver_sho" localSheetId="2" hidden="1">2</definedName>
    <definedName name="solver_sho" localSheetId="3" hidden="1">2</definedName>
    <definedName name="solver_sol" localSheetId="3" hidden="1">0.0001</definedName>
    <definedName name="solver_ssz" localSheetId="0" hidden="1">100</definedName>
    <definedName name="solver_ssz" localSheetId="1" hidden="1">100</definedName>
    <definedName name="solver_ssz" localSheetId="2" hidden="1">100</definedName>
    <definedName name="solver_ssz" localSheetId="3" hidden="1">0</definedName>
    <definedName name="solver_tim" localSheetId="0" hidden="1">100</definedName>
    <definedName name="solver_tim" localSheetId="1" hidden="1">100</definedName>
    <definedName name="solver_tim" localSheetId="2" hidden="1">100</definedName>
    <definedName name="solver_tim" localSheetId="3" hidden="1">100</definedName>
    <definedName name="solver_tms" localSheetId="3" hidden="1">2</definedName>
    <definedName name="solver_tol" localSheetId="0" hidden="1">0.01</definedName>
    <definedName name="solver_tol" localSheetId="1" hidden="1">0.01</definedName>
    <definedName name="solver_tol" localSheetId="2" hidden="1">0.01</definedName>
    <definedName name="solver_tol" localSheetId="3" hidden="1">0.05</definedName>
    <definedName name="solver_typ" localSheetId="0" hidden="1">1</definedName>
    <definedName name="solver_typ" localSheetId="1" hidden="1">2</definedName>
    <definedName name="solver_typ" localSheetId="2" hidden="1">2</definedName>
    <definedName name="solver_typ" localSheetId="3" hidden="1">2</definedName>
    <definedName name="solver_val" localSheetId="0" hidden="1">0</definedName>
    <definedName name="solver_val" localSheetId="1" hidden="1">0</definedName>
    <definedName name="solver_val" localSheetId="2" hidden="1">0</definedName>
    <definedName name="solver_val" localSheetId="3" hidden="1">0</definedName>
    <definedName name="solver_ver" localSheetId="0" hidden="1">3</definedName>
    <definedName name="solver_ver" localSheetId="1" hidden="1">3</definedName>
    <definedName name="solver_ver" localSheetId="2" hidden="1">3</definedName>
    <definedName name="solver_ver" localSheetId="3" hidden="1">2</definedName>
    <definedName name="solver_vir" localSheetId="0" hidden="1">1</definedName>
    <definedName name="solver_vir" localSheetId="1" hidden="1">1</definedName>
    <definedName name="solver_vir" localSheetId="2" hidden="1">1</definedName>
    <definedName name="solver_vir" localSheetId="3" hidden="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43" l="1"/>
  <c r="F6" i="43"/>
  <c r="F5" i="43"/>
  <c r="F4" i="43"/>
  <c r="E32" i="42" l="1"/>
  <c r="D32" i="42"/>
  <c r="C32" i="42"/>
  <c r="E31" i="42"/>
  <c r="D31" i="42"/>
  <c r="C31" i="42"/>
  <c r="E30" i="42"/>
  <c r="D30" i="42"/>
  <c r="C30" i="42"/>
  <c r="E29" i="42"/>
  <c r="D29" i="42"/>
  <c r="C29" i="42"/>
  <c r="E28" i="42"/>
  <c r="D28" i="42"/>
  <c r="C28" i="42"/>
  <c r="E27" i="42"/>
  <c r="E33" i="42" s="1"/>
  <c r="D27" i="42"/>
  <c r="D33" i="42" s="1"/>
  <c r="C27" i="42"/>
  <c r="C33" i="42" s="1"/>
  <c r="N23" i="42"/>
  <c r="M23" i="42"/>
  <c r="L23" i="42"/>
  <c r="F23" i="42"/>
  <c r="N22" i="42"/>
  <c r="M22" i="42"/>
  <c r="L22" i="42"/>
  <c r="F22" i="42"/>
  <c r="N21" i="42"/>
  <c r="M21" i="42"/>
  <c r="L21" i="42"/>
  <c r="F21" i="42"/>
  <c r="N20" i="42"/>
  <c r="M20" i="42"/>
  <c r="L20" i="42"/>
  <c r="F20" i="42"/>
  <c r="N19" i="42"/>
  <c r="M19" i="42"/>
  <c r="L19" i="42"/>
  <c r="F19" i="42"/>
  <c r="N18" i="42"/>
  <c r="M18" i="42"/>
  <c r="L18" i="42"/>
  <c r="F18" i="42"/>
  <c r="E15" i="42"/>
  <c r="D15" i="42"/>
  <c r="C15" i="42"/>
  <c r="F33" i="42" l="1"/>
  <c r="E32" i="41" l="1"/>
  <c r="D32" i="41"/>
  <c r="C32" i="41"/>
  <c r="E31" i="41"/>
  <c r="D31" i="41"/>
  <c r="C31" i="41"/>
  <c r="E30" i="41"/>
  <c r="D30" i="41"/>
  <c r="C30" i="41"/>
  <c r="E29" i="41"/>
  <c r="D29" i="41"/>
  <c r="C29" i="41"/>
  <c r="E28" i="41"/>
  <c r="D28" i="41"/>
  <c r="C28" i="41"/>
  <c r="E27" i="41"/>
  <c r="D27" i="41"/>
  <c r="C27" i="41"/>
  <c r="F23" i="41"/>
  <c r="F22" i="41"/>
  <c r="F21" i="41"/>
  <c r="F20" i="41"/>
  <c r="F19" i="41"/>
  <c r="F18" i="41"/>
  <c r="E15" i="41"/>
  <c r="D15" i="41"/>
  <c r="C15" i="41"/>
  <c r="A14" i="29"/>
  <c r="A15" i="29" s="1"/>
  <c r="A16" i="29" s="1"/>
  <c r="A17" i="29" s="1"/>
  <c r="A18" i="29" s="1"/>
  <c r="A4" i="29"/>
  <c r="A5" i="29" s="1"/>
  <c r="A6" i="29" s="1"/>
  <c r="A7" i="29" s="1"/>
  <c r="A8" i="29" s="1"/>
  <c r="Y8" i="29"/>
  <c r="X8" i="29"/>
  <c r="W8" i="29"/>
  <c r="Y7" i="29"/>
  <c r="X7" i="29"/>
  <c r="W7" i="29"/>
  <c r="Y6" i="29"/>
  <c r="X6" i="29"/>
  <c r="W6" i="29"/>
  <c r="Y5" i="29"/>
  <c r="X5" i="29"/>
  <c r="W5" i="29"/>
  <c r="Y4" i="29"/>
  <c r="X4" i="29"/>
  <c r="W4" i="29"/>
  <c r="Y3" i="29"/>
  <c r="Y9" i="29" s="1"/>
  <c r="X3" i="29"/>
  <c r="X9" i="29" s="1"/>
  <c r="W3" i="29"/>
  <c r="V4" i="29"/>
  <c r="U4" i="29"/>
  <c r="T4" i="29"/>
  <c r="S4" i="29"/>
  <c r="R4" i="29"/>
  <c r="Q4" i="29"/>
  <c r="P4" i="29"/>
  <c r="O4" i="29"/>
  <c r="N4" i="29"/>
  <c r="M4" i="29"/>
  <c r="L4" i="29"/>
  <c r="K4" i="29"/>
  <c r="J4" i="29"/>
  <c r="I4" i="29"/>
  <c r="H4" i="29"/>
  <c r="G4" i="29"/>
  <c r="G9" i="29" s="1"/>
  <c r="F4" i="29"/>
  <c r="E4" i="29"/>
  <c r="V3" i="29"/>
  <c r="V9" i="29" s="1"/>
  <c r="U3" i="29"/>
  <c r="T3" i="29"/>
  <c r="S3" i="29"/>
  <c r="S9" i="29" s="1"/>
  <c r="R3" i="29"/>
  <c r="Q3" i="29"/>
  <c r="Q9" i="29" s="1"/>
  <c r="P3" i="29"/>
  <c r="O3" i="29"/>
  <c r="O9" i="29" s="1"/>
  <c r="N3" i="29"/>
  <c r="M3" i="29"/>
  <c r="L3" i="29"/>
  <c r="K3" i="29"/>
  <c r="J3" i="29"/>
  <c r="I3" i="29"/>
  <c r="H3" i="29"/>
  <c r="G3" i="29"/>
  <c r="F3" i="29"/>
  <c r="E3" i="29"/>
  <c r="V5" i="29"/>
  <c r="U5" i="29"/>
  <c r="T5" i="29"/>
  <c r="S5" i="29"/>
  <c r="R5" i="29"/>
  <c r="Q5" i="29"/>
  <c r="P5" i="29"/>
  <c r="O5" i="29"/>
  <c r="N5" i="29"/>
  <c r="M5" i="29"/>
  <c r="L5" i="29"/>
  <c r="K5" i="29"/>
  <c r="J5" i="29"/>
  <c r="I5" i="29"/>
  <c r="H5" i="29"/>
  <c r="G5" i="29"/>
  <c r="F5" i="29"/>
  <c r="E5" i="29"/>
  <c r="F2" i="29"/>
  <c r="G2" i="29" s="1"/>
  <c r="H2" i="29" s="1"/>
  <c r="I2" i="29" s="1"/>
  <c r="J2" i="29" s="1"/>
  <c r="K2" i="29" s="1"/>
  <c r="L2" i="29" s="1"/>
  <c r="M2" i="29" s="1"/>
  <c r="N2" i="29" s="1"/>
  <c r="O2" i="29" s="1"/>
  <c r="P2" i="29" s="1"/>
  <c r="Q2" i="29" s="1"/>
  <c r="R2" i="29" s="1"/>
  <c r="S2" i="29" s="1"/>
  <c r="T2" i="29" s="1"/>
  <c r="U2" i="29" s="1"/>
  <c r="V2" i="29" s="1"/>
  <c r="W2" i="29" s="1"/>
  <c r="X2" i="29" s="1"/>
  <c r="Y2" i="29" s="1"/>
  <c r="G6" i="29"/>
  <c r="H6" i="29"/>
  <c r="I6" i="29"/>
  <c r="J6" i="29"/>
  <c r="K6" i="29"/>
  <c r="K9" i="29" s="1"/>
  <c r="L6" i="29"/>
  <c r="M6" i="29"/>
  <c r="M9" i="29" s="1"/>
  <c r="N6" i="29"/>
  <c r="O6" i="29"/>
  <c r="P6" i="29"/>
  <c r="Q6" i="29"/>
  <c r="R6" i="29"/>
  <c r="S6" i="29"/>
  <c r="T6" i="29"/>
  <c r="U6" i="29"/>
  <c r="V6" i="29"/>
  <c r="G7" i="29"/>
  <c r="H7" i="29"/>
  <c r="I7" i="29"/>
  <c r="J7" i="29"/>
  <c r="K7" i="29"/>
  <c r="L7" i="29"/>
  <c r="M7" i="29"/>
  <c r="N7" i="29"/>
  <c r="O7" i="29"/>
  <c r="P7" i="29"/>
  <c r="Q7" i="29"/>
  <c r="R7" i="29"/>
  <c r="S7" i="29"/>
  <c r="T7" i="29"/>
  <c r="U7" i="29"/>
  <c r="V7" i="29"/>
  <c r="G8" i="29"/>
  <c r="H8" i="29"/>
  <c r="I8" i="29"/>
  <c r="J8" i="29"/>
  <c r="K8" i="29"/>
  <c r="L8" i="29"/>
  <c r="M8" i="29"/>
  <c r="N8" i="29"/>
  <c r="O8" i="29"/>
  <c r="P8" i="29"/>
  <c r="Q8" i="29"/>
  <c r="R8" i="29"/>
  <c r="S8" i="29"/>
  <c r="T8" i="29"/>
  <c r="U8" i="29"/>
  <c r="V8" i="29"/>
  <c r="F12" i="29"/>
  <c r="G12" i="29"/>
  <c r="F7" i="29"/>
  <c r="F6" i="29"/>
  <c r="F8" i="29"/>
  <c r="E6" i="29"/>
  <c r="E7" i="29"/>
  <c r="E8" i="29"/>
  <c r="AC17" i="29"/>
  <c r="AC16" i="29"/>
  <c r="AC18" i="29"/>
  <c r="AC14" i="29"/>
  <c r="AC15" i="29"/>
  <c r="AC13" i="29"/>
  <c r="E33" i="41" l="1"/>
  <c r="C33" i="41"/>
  <c r="D33" i="41"/>
  <c r="E9" i="29"/>
  <c r="U9" i="29"/>
  <c r="N9" i="29"/>
  <c r="W9" i="29"/>
  <c r="C8" i="29"/>
  <c r="P9" i="29"/>
  <c r="C5" i="29"/>
  <c r="H12" i="29"/>
  <c r="I12" i="29" s="1"/>
  <c r="J12" i="29" s="1"/>
  <c r="K12" i="29" s="1"/>
  <c r="L12" i="29" s="1"/>
  <c r="M12" i="29" s="1"/>
  <c r="N12" i="29" s="1"/>
  <c r="O12" i="29" s="1"/>
  <c r="P12" i="29" s="1"/>
  <c r="Q12" i="29" s="1"/>
  <c r="R12" i="29" s="1"/>
  <c r="S12" i="29" s="1"/>
  <c r="T12" i="29" s="1"/>
  <c r="U12" i="29" s="1"/>
  <c r="V12" i="29" s="1"/>
  <c r="W12" i="29" s="1"/>
  <c r="X12" i="29" s="1"/>
  <c r="Y12" i="29" s="1"/>
  <c r="C6" i="29"/>
  <c r="C7" i="29"/>
  <c r="H9" i="29"/>
  <c r="L9" i="29"/>
  <c r="F9" i="29"/>
  <c r="C3" i="29"/>
  <c r="J9" i="29"/>
  <c r="R9" i="29"/>
  <c r="C4" i="29"/>
  <c r="I9" i="29"/>
  <c r="T9" i="29"/>
  <c r="F33" i="41" l="1"/>
  <c r="AD13" i="29"/>
  <c r="AE13" i="29" s="1"/>
  <c r="AF13" i="29" s="1"/>
  <c r="AD15" i="29"/>
  <c r="AE15" i="29" s="1"/>
  <c r="AF15" i="29" s="1"/>
  <c r="AD18" i="29"/>
  <c r="AE18" i="29" s="1"/>
  <c r="AF18" i="29" s="1"/>
  <c r="AD17" i="29"/>
  <c r="AE17" i="29" s="1"/>
  <c r="AF17" i="29" s="1"/>
  <c r="AD16" i="29"/>
  <c r="AE16" i="29" s="1"/>
  <c r="AF16" i="29" s="1"/>
  <c r="AD14" i="29"/>
  <c r="AE14" i="29" s="1"/>
  <c r="AF14" i="29" s="1"/>
  <c r="AF19" i="29" l="1"/>
</calcChain>
</file>

<file path=xl/sharedStrings.xml><?xml version="1.0" encoding="utf-8"?>
<sst xmlns="http://schemas.openxmlformats.org/spreadsheetml/2006/main" count="123" uniqueCount="57">
  <si>
    <t>Biglia</t>
  </si>
  <si>
    <t>Miyano</t>
  </si>
  <si>
    <t>Okuma</t>
  </si>
  <si>
    <t>i</t>
  </si>
  <si>
    <t>j</t>
  </si>
  <si>
    <t>Z</t>
  </si>
  <si>
    <r>
      <t>f</t>
    </r>
    <r>
      <rPr>
        <b/>
        <i/>
        <vertAlign val="subscript"/>
        <sz val="10"/>
        <rFont val="Arial"/>
        <family val="2"/>
      </rPr>
      <t>i</t>
    </r>
  </si>
  <si>
    <r>
      <t>d</t>
    </r>
    <r>
      <rPr>
        <b/>
        <i/>
        <vertAlign val="subscript"/>
        <sz val="10"/>
        <rFont val="Arial"/>
        <family val="2"/>
      </rPr>
      <t>i</t>
    </r>
  </si>
  <si>
    <t>Spreadsheet model:</t>
  </si>
  <si>
    <r>
      <t>Processing times (</t>
    </r>
    <r>
      <rPr>
        <b/>
        <i/>
        <sz val="14"/>
        <rFont val="Arial"/>
        <family val="2"/>
      </rPr>
      <t>c</t>
    </r>
    <r>
      <rPr>
        <b/>
        <i/>
        <vertAlign val="subscript"/>
        <sz val="14"/>
        <rFont val="Arial"/>
        <family val="2"/>
      </rPr>
      <t>ij</t>
    </r>
    <r>
      <rPr>
        <b/>
        <sz val="14"/>
        <rFont val="Arial"/>
        <family val="2"/>
      </rPr>
      <t>)</t>
    </r>
  </si>
  <si>
    <t>Products</t>
  </si>
  <si>
    <t>Sleeve 1</t>
  </si>
  <si>
    <t>Sleeve 2</t>
  </si>
  <si>
    <t>Nipple 1</t>
  </si>
  <si>
    <t>Nipple 2</t>
  </si>
  <si>
    <t>Connector 1</t>
  </si>
  <si>
    <t>Connector 2</t>
  </si>
  <si>
    <t>Capacity</t>
  </si>
  <si>
    <t>Machines</t>
  </si>
  <si>
    <t>Parameters</t>
  </si>
  <si>
    <r>
      <t>Produced amounts (</t>
    </r>
    <r>
      <rPr>
        <b/>
        <i/>
        <sz val="14"/>
        <rFont val="Arial"/>
        <family val="2"/>
      </rPr>
      <t>x</t>
    </r>
    <r>
      <rPr>
        <b/>
        <i/>
        <vertAlign val="subscript"/>
        <sz val="14"/>
        <rFont val="Arial"/>
        <family val="2"/>
      </rPr>
      <t>ij</t>
    </r>
    <r>
      <rPr>
        <b/>
        <sz val="14"/>
        <rFont val="Arial"/>
        <family val="2"/>
      </rPr>
      <t>)</t>
    </r>
  </si>
  <si>
    <t>Solution (=decision variable values)</t>
  </si>
  <si>
    <t>Objective function value</t>
  </si>
  <si>
    <t>Total times</t>
  </si>
  <si>
    <t>Mathematical optimization model:</t>
  </si>
  <si>
    <t>Objenctive function:</t>
  </si>
  <si>
    <t>Constraints:</t>
  </si>
  <si>
    <t>Allocation of jobs to machines</t>
  </si>
  <si>
    <t>Six different products are machined using three automatic lathes</t>
  </si>
  <si>
    <t>Problem: Which machines are used for which products so that the total cost is minimized?</t>
  </si>
  <si>
    <r>
      <t xml:space="preserve">Timing, </t>
    </r>
    <r>
      <rPr>
        <b/>
        <i/>
        <sz val="10"/>
        <rFont val="Arial"/>
        <family val="2"/>
      </rPr>
      <t>y</t>
    </r>
    <r>
      <rPr>
        <b/>
        <i/>
        <vertAlign val="subscript"/>
        <sz val="10"/>
        <rFont val="Arial"/>
        <family val="2"/>
      </rPr>
      <t>it</t>
    </r>
    <r>
      <rPr>
        <b/>
        <sz val="10"/>
        <rFont val="Arial"/>
        <family val="2"/>
      </rPr>
      <t>:</t>
    </r>
  </si>
  <si>
    <r>
      <t xml:space="preserve">Job, </t>
    </r>
    <r>
      <rPr>
        <b/>
        <i/>
        <sz val="10"/>
        <rFont val="Arial"/>
        <family val="2"/>
      </rPr>
      <t>i</t>
    </r>
  </si>
  <si>
    <r>
      <t xml:space="preserve">Throughput, </t>
    </r>
    <r>
      <rPr>
        <b/>
        <i/>
        <sz val="10"/>
        <rFont val="Arial"/>
        <family val="2"/>
      </rPr>
      <t>p</t>
    </r>
    <r>
      <rPr>
        <b/>
        <i/>
        <vertAlign val="subscript"/>
        <sz val="10"/>
        <rFont val="Arial"/>
        <family val="2"/>
      </rPr>
      <t>i</t>
    </r>
  </si>
  <si>
    <r>
      <t xml:space="preserve">Time, </t>
    </r>
    <r>
      <rPr>
        <b/>
        <i/>
        <sz val="10"/>
        <rFont val="Arial"/>
        <family val="2"/>
      </rPr>
      <t>t</t>
    </r>
    <r>
      <rPr>
        <b/>
        <sz val="10"/>
        <rFont val="Arial"/>
        <family val="2"/>
      </rPr>
      <t>:</t>
    </r>
  </si>
  <si>
    <t>Dead line</t>
  </si>
  <si>
    <r>
      <t xml:space="preserve">Finishing time, </t>
    </r>
    <r>
      <rPr>
        <b/>
        <i/>
        <sz val="10"/>
        <rFont val="Arial"/>
        <family val="2"/>
      </rPr>
      <t>x</t>
    </r>
    <r>
      <rPr>
        <b/>
        <i/>
        <vertAlign val="subscript"/>
        <sz val="10"/>
        <rFont val="Arial"/>
        <family val="2"/>
      </rPr>
      <t>it</t>
    </r>
    <r>
      <rPr>
        <b/>
        <sz val="10"/>
        <rFont val="Arial"/>
        <family val="2"/>
      </rPr>
      <t>:</t>
    </r>
  </si>
  <si>
    <t>Finished</t>
  </si>
  <si>
    <t>Difference</t>
  </si>
  <si>
    <t>Objective is to allocate six jobs to one machine so, that jobs end as close to the dead line as possible. Job durations are given, and the machine processes only one job at a time</t>
  </si>
  <si>
    <r>
      <t xml:space="preserve">Amounts, </t>
    </r>
    <r>
      <rPr>
        <i/>
        <sz val="14"/>
        <rFont val="Arial"/>
        <family val="2"/>
      </rPr>
      <t>d</t>
    </r>
    <r>
      <rPr>
        <i/>
        <vertAlign val="subscript"/>
        <sz val="14"/>
        <rFont val="Arial"/>
        <family val="2"/>
      </rPr>
      <t>j</t>
    </r>
  </si>
  <si>
    <r>
      <t xml:space="preserve">Capacity, </t>
    </r>
    <r>
      <rPr>
        <i/>
        <sz val="14"/>
        <rFont val="Arial"/>
        <family val="2"/>
      </rPr>
      <t>s</t>
    </r>
    <r>
      <rPr>
        <i/>
        <vertAlign val="subscript"/>
        <sz val="14"/>
        <rFont val="Arial"/>
        <family val="2"/>
      </rPr>
      <t>i</t>
    </r>
  </si>
  <si>
    <t>Difference^2</t>
  </si>
  <si>
    <t>Amounts</t>
  </si>
  <si>
    <t>Fixed cost for production</t>
  </si>
  <si>
    <t>Big M</t>
  </si>
  <si>
    <t>Total work loads</t>
  </si>
  <si>
    <t>X</t>
  </si>
  <si>
    <t>Y</t>
  </si>
  <si>
    <t>Total</t>
  </si>
  <si>
    <t>£</t>
  </si>
  <si>
    <t>Constraint RHS</t>
  </si>
  <si>
    <t>C1</t>
  </si>
  <si>
    <t>C2</t>
  </si>
  <si>
    <t>C3</t>
  </si>
  <si>
    <t>Coefficients</t>
  </si>
  <si>
    <t>Solution</t>
  </si>
  <si>
    <t>Objective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</si>
</sst>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0"/>
      <name val="Arial"/>
    </font>
    <font>
      <sz val="10"/>
      <name val="Arial"/>
      <family val="2"/>
    </font>
    <font>
      <b/>
      <sz val="10"/>
      <name val="Arial"/>
      <family val="2"/>
    </font>
    <font>
      <sz val="14"/>
      <name val="Arial"/>
      <family val="2"/>
    </font>
    <font>
      <i/>
      <sz val="14"/>
      <name val="Arial"/>
      <family val="2"/>
    </font>
    <font>
      <b/>
      <sz val="14"/>
      <name val="Arial"/>
      <family val="2"/>
    </font>
    <font>
      <b/>
      <i/>
      <sz val="14"/>
      <name val="Arial"/>
      <family val="2"/>
    </font>
    <font>
      <b/>
      <i/>
      <vertAlign val="subscript"/>
      <sz val="14"/>
      <name val="Arial"/>
      <family val="2"/>
    </font>
    <font>
      <b/>
      <i/>
      <sz val="10"/>
      <name val="Arial"/>
      <family val="2"/>
    </font>
    <font>
      <b/>
      <i/>
      <vertAlign val="subscript"/>
      <sz val="10"/>
      <name val="Arial"/>
      <family val="2"/>
    </font>
    <font>
      <i/>
      <vertAlign val="subscript"/>
      <sz val="14"/>
      <name val="Arial"/>
      <family val="2"/>
    </font>
    <font>
      <sz val="10"/>
      <name val="Symbol"/>
      <family val="1"/>
      <charset val="2"/>
    </font>
    <font>
      <i/>
      <sz val="10"/>
      <name val="Arial"/>
      <family val="2"/>
    </font>
  </fonts>
  <fills count="7">
    <fill>
      <patternFill patternType="none"/>
    </fill>
    <fill>
      <patternFill patternType="gray125"/>
    </fill>
    <fill>
      <patternFill patternType="solid">
        <fgColor indexed="11"/>
        <bgColor indexed="64"/>
      </patternFill>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theme="0" tint="-0.14999847407452621"/>
        <bgColor indexed="64"/>
      </patternFill>
    </fill>
  </fills>
  <borders count="1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s>
  <cellStyleXfs count="2">
    <xf numFmtId="0" fontId="0" fillId="0" borderId="0"/>
    <xf numFmtId="0" fontId="1" fillId="0" borderId="0"/>
  </cellStyleXfs>
  <cellXfs count="137">
    <xf numFmtId="0" fontId="0" fillId="0" borderId="0" xfId="0"/>
    <xf numFmtId="0" fontId="0" fillId="0" borderId="1" xfId="0" applyBorder="1"/>
    <xf numFmtId="0" fontId="0" fillId="0" borderId="2" xfId="0" applyBorder="1"/>
    <xf numFmtId="0" fontId="0" fillId="0" borderId="3" xfId="0" applyBorder="1"/>
    <xf numFmtId="0" fontId="2" fillId="0" borderId="0" xfId="0" applyFont="1"/>
    <xf numFmtId="0" fontId="0" fillId="0" borderId="4" xfId="0" applyBorder="1"/>
    <xf numFmtId="0" fontId="0" fillId="3" borderId="1" xfId="0" applyFill="1" applyBorder="1"/>
    <xf numFmtId="0" fontId="0" fillId="0" borderId="0" xfId="0" applyBorder="1"/>
    <xf numFmtId="0" fontId="0" fillId="0" borderId="0" xfId="0" applyFill="1" applyBorder="1"/>
    <xf numFmtId="0" fontId="2" fillId="0" borderId="0" xfId="0" applyFont="1" applyBorder="1"/>
    <xf numFmtId="0" fontId="0" fillId="0" borderId="5" xfId="0" applyBorder="1"/>
    <xf numFmtId="0" fontId="3" fillId="0" borderId="0" xfId="0" applyFont="1"/>
    <xf numFmtId="0" fontId="4" fillId="0" borderId="0" xfId="0" applyFont="1"/>
    <xf numFmtId="0" fontId="0" fillId="3" borderId="8" xfId="0" applyFill="1" applyBorder="1"/>
    <xf numFmtId="0" fontId="0" fillId="0" borderId="8" xfId="0" applyBorder="1"/>
    <xf numFmtId="0" fontId="0" fillId="0" borderId="9" xfId="0" applyBorder="1"/>
    <xf numFmtId="0" fontId="0" fillId="0" borderId="10" xfId="0" applyBorder="1"/>
    <xf numFmtId="0" fontId="0" fillId="3" borderId="3" xfId="0" applyFill="1" applyBorder="1"/>
    <xf numFmtId="164" fontId="0" fillId="0" borderId="0" xfId="0" applyNumberFormat="1" applyBorder="1"/>
    <xf numFmtId="0" fontId="0" fillId="4" borderId="7" xfId="0" applyFill="1" applyBorder="1"/>
    <xf numFmtId="0" fontId="0" fillId="3" borderId="6" xfId="0" applyFill="1" applyBorder="1"/>
    <xf numFmtId="0" fontId="0" fillId="3" borderId="12" xfId="0" applyFill="1" applyBorder="1"/>
    <xf numFmtId="0" fontId="0" fillId="3" borderId="11" xfId="0" applyFill="1" applyBorder="1"/>
    <xf numFmtId="0" fontId="0" fillId="2" borderId="13" xfId="0" applyFill="1" applyBorder="1"/>
    <xf numFmtId="1" fontId="5" fillId="0" borderId="0" xfId="0" applyNumberFormat="1" applyFont="1"/>
    <xf numFmtId="1" fontId="3" fillId="0" borderId="0" xfId="0" applyNumberFormat="1" applyFont="1"/>
    <xf numFmtId="0" fontId="5" fillId="0" borderId="0" xfId="0" applyFont="1"/>
    <xf numFmtId="1" fontId="3" fillId="0" borderId="8" xfId="0" applyNumberFormat="1" applyFont="1" applyBorder="1"/>
    <xf numFmtId="1" fontId="3" fillId="0" borderId="9" xfId="0" applyNumberFormat="1" applyFont="1" applyBorder="1"/>
    <xf numFmtId="1" fontId="3" fillId="0" borderId="10" xfId="0" applyNumberFormat="1" applyFont="1" applyBorder="1"/>
    <xf numFmtId="1" fontId="3" fillId="0" borderId="1" xfId="0" applyNumberFormat="1" applyFont="1" applyBorder="1"/>
    <xf numFmtId="1" fontId="3" fillId="0" borderId="0" xfId="0" applyNumberFormat="1" applyFont="1" applyBorder="1"/>
    <xf numFmtId="1" fontId="3" fillId="0" borderId="5" xfId="0" applyNumberFormat="1" applyFont="1" applyBorder="1"/>
    <xf numFmtId="1" fontId="3" fillId="0" borderId="3" xfId="0" applyNumberFormat="1" applyFont="1" applyBorder="1"/>
    <xf numFmtId="1" fontId="3" fillId="0" borderId="2" xfId="0" applyNumberFormat="1" applyFont="1" applyBorder="1"/>
    <xf numFmtId="1" fontId="3" fillId="0" borderId="4" xfId="0" applyNumberFormat="1" applyFont="1" applyBorder="1"/>
    <xf numFmtId="1" fontId="4" fillId="0" borderId="0" xfId="0" applyNumberFormat="1" applyFont="1"/>
    <xf numFmtId="0" fontId="4" fillId="0" borderId="0" xfId="0" applyFont="1" applyFill="1" applyBorder="1"/>
    <xf numFmtId="1" fontId="4" fillId="0" borderId="0" xfId="0" applyNumberFormat="1" applyFont="1" applyAlignment="1">
      <alignment horizontal="right"/>
    </xf>
    <xf numFmtId="0" fontId="4" fillId="0" borderId="0" xfId="0" applyFont="1" applyAlignment="1">
      <alignment horizontal="right"/>
    </xf>
    <xf numFmtId="0" fontId="0" fillId="0" borderId="10" xfId="0" applyFill="1" applyBorder="1"/>
    <xf numFmtId="0" fontId="0" fillId="0" borderId="5" xfId="0" applyFill="1" applyBorder="1"/>
    <xf numFmtId="0" fontId="0" fillId="0" borderId="4" xfId="0" applyFill="1" applyBorder="1"/>
    <xf numFmtId="0" fontId="0" fillId="0" borderId="6" xfId="0" applyFill="1" applyBorder="1"/>
    <xf numFmtId="0" fontId="0" fillId="0" borderId="12" xfId="0" applyFill="1" applyBorder="1"/>
    <xf numFmtId="0" fontId="0" fillId="0" borderId="11" xfId="0" applyFill="1" applyBorder="1"/>
    <xf numFmtId="0" fontId="0" fillId="0" borderId="14" xfId="0" applyFill="1" applyBorder="1"/>
    <xf numFmtId="0" fontId="0" fillId="0" borderId="15" xfId="0" applyFill="1" applyBorder="1"/>
    <xf numFmtId="0" fontId="0" fillId="0" borderId="16" xfId="0" applyFill="1" applyBorder="1"/>
    <xf numFmtId="0" fontId="0" fillId="0" borderId="6" xfId="0" applyBorder="1"/>
    <xf numFmtId="0" fontId="0" fillId="0" borderId="12" xfId="0" applyBorder="1"/>
    <xf numFmtId="0" fontId="0" fillId="0" borderId="11" xfId="0" applyBorder="1"/>
    <xf numFmtId="0" fontId="0" fillId="0" borderId="17" xfId="0" applyBorder="1"/>
    <xf numFmtId="0" fontId="0" fillId="0" borderId="18" xfId="0" applyBorder="1"/>
    <xf numFmtId="0" fontId="8" fillId="0" borderId="0" xfId="0" applyFont="1"/>
    <xf numFmtId="1" fontId="3" fillId="4" borderId="8" xfId="0" applyNumberFormat="1" applyFont="1" applyFill="1" applyBorder="1"/>
    <xf numFmtId="1" fontId="3" fillId="4" borderId="9" xfId="0" applyNumberFormat="1" applyFont="1" applyFill="1" applyBorder="1"/>
    <xf numFmtId="1" fontId="3" fillId="4" borderId="10" xfId="0" applyNumberFormat="1" applyFont="1" applyFill="1" applyBorder="1"/>
    <xf numFmtId="1" fontId="3" fillId="4" borderId="1" xfId="0" applyNumberFormat="1" applyFont="1" applyFill="1" applyBorder="1"/>
    <xf numFmtId="1" fontId="3" fillId="4" borderId="0" xfId="0" applyNumberFormat="1" applyFont="1" applyFill="1" applyBorder="1"/>
    <xf numFmtId="1" fontId="3" fillId="4" borderId="5" xfId="0" applyNumberFormat="1" applyFont="1" applyFill="1" applyBorder="1"/>
    <xf numFmtId="1" fontId="3" fillId="4" borderId="3" xfId="0" applyNumberFormat="1" applyFont="1" applyFill="1" applyBorder="1"/>
    <xf numFmtId="1" fontId="3" fillId="4" borderId="2" xfId="0" applyNumberFormat="1" applyFont="1" applyFill="1" applyBorder="1"/>
    <xf numFmtId="1" fontId="3" fillId="4" borderId="4" xfId="0" applyNumberFormat="1" applyFont="1" applyFill="1" applyBorder="1"/>
    <xf numFmtId="1" fontId="3" fillId="2" borderId="0" xfId="0" applyNumberFormat="1" applyFont="1" applyFill="1"/>
    <xf numFmtId="1" fontId="3" fillId="3" borderId="0" xfId="0" applyNumberFormat="1" applyFont="1" applyFill="1"/>
    <xf numFmtId="164" fontId="3" fillId="3" borderId="8" xfId="0" applyNumberFormat="1" applyFont="1" applyFill="1" applyBorder="1"/>
    <xf numFmtId="164" fontId="3" fillId="3" borderId="9" xfId="0" applyNumberFormat="1" applyFont="1" applyFill="1" applyBorder="1"/>
    <xf numFmtId="164" fontId="3" fillId="3" borderId="10" xfId="0" applyNumberFormat="1" applyFont="1" applyFill="1" applyBorder="1"/>
    <xf numFmtId="164" fontId="3" fillId="3" borderId="1" xfId="0" applyNumberFormat="1" applyFont="1" applyFill="1" applyBorder="1"/>
    <xf numFmtId="164" fontId="3" fillId="3" borderId="0" xfId="0" applyNumberFormat="1" applyFont="1" applyFill="1" applyBorder="1"/>
    <xf numFmtId="164" fontId="3" fillId="3" borderId="5" xfId="0" applyNumberFormat="1" applyFont="1" applyFill="1" applyBorder="1"/>
    <xf numFmtId="164" fontId="3" fillId="3" borderId="3" xfId="0" applyNumberFormat="1" applyFont="1" applyFill="1" applyBorder="1"/>
    <xf numFmtId="164" fontId="3" fillId="3" borderId="2" xfId="0" applyNumberFormat="1" applyFont="1" applyFill="1" applyBorder="1"/>
    <xf numFmtId="164" fontId="3" fillId="3" borderId="4" xfId="0" applyNumberFormat="1" applyFont="1" applyFill="1" applyBorder="1"/>
    <xf numFmtId="1" fontId="3" fillId="0" borderId="0" xfId="0" applyNumberFormat="1" applyFont="1" applyFill="1"/>
    <xf numFmtId="1" fontId="5" fillId="0" borderId="0" xfId="1" applyNumberFormat="1" applyFont="1"/>
    <xf numFmtId="1" fontId="3" fillId="0" borderId="0" xfId="1" applyNumberFormat="1" applyFont="1"/>
    <xf numFmtId="0" fontId="5" fillId="0" borderId="0" xfId="1" applyFont="1"/>
    <xf numFmtId="0" fontId="3" fillId="0" borderId="0" xfId="1" applyFont="1"/>
    <xf numFmtId="164" fontId="3" fillId="3" borderId="8" xfId="1" applyNumberFormat="1" applyFont="1" applyFill="1" applyBorder="1"/>
    <xf numFmtId="164" fontId="3" fillId="3" borderId="9" xfId="1" applyNumberFormat="1" applyFont="1" applyFill="1" applyBorder="1"/>
    <xf numFmtId="164" fontId="3" fillId="3" borderId="10" xfId="1" applyNumberFormat="1" applyFont="1" applyFill="1" applyBorder="1"/>
    <xf numFmtId="1" fontId="3" fillId="3" borderId="0" xfId="1" applyNumberFormat="1" applyFont="1" applyFill="1"/>
    <xf numFmtId="1" fontId="3" fillId="6" borderId="0" xfId="1" applyNumberFormat="1" applyFont="1" applyFill="1"/>
    <xf numFmtId="164" fontId="3" fillId="3" borderId="1" xfId="1" applyNumberFormat="1" applyFont="1" applyFill="1" applyBorder="1"/>
    <xf numFmtId="164" fontId="3" fillId="3" borderId="0" xfId="1" applyNumberFormat="1" applyFont="1" applyFill="1"/>
    <xf numFmtId="164" fontId="3" fillId="3" borderId="5" xfId="1" applyNumberFormat="1" applyFont="1" applyFill="1" applyBorder="1"/>
    <xf numFmtId="164" fontId="3" fillId="3" borderId="3" xfId="1" applyNumberFormat="1" applyFont="1" applyFill="1" applyBorder="1"/>
    <xf numFmtId="164" fontId="3" fillId="3" borderId="2" xfId="1" applyNumberFormat="1" applyFont="1" applyFill="1" applyBorder="1"/>
    <xf numFmtId="164" fontId="3" fillId="3" borderId="4" xfId="1" applyNumberFormat="1" applyFont="1" applyFill="1" applyBorder="1"/>
    <xf numFmtId="0" fontId="4" fillId="0" borderId="0" xfId="1" applyFont="1"/>
    <xf numFmtId="1" fontId="3" fillId="4" borderId="8" xfId="1" applyNumberFormat="1" applyFont="1" applyFill="1" applyBorder="1"/>
    <xf numFmtId="1" fontId="3" fillId="4" borderId="9" xfId="1" applyNumberFormat="1" applyFont="1" applyFill="1" applyBorder="1"/>
    <xf numFmtId="1" fontId="3" fillId="4" borderId="10" xfId="1" applyNumberFormat="1" applyFont="1" applyFill="1" applyBorder="1"/>
    <xf numFmtId="1" fontId="3" fillId="5" borderId="8" xfId="1" applyNumberFormat="1" applyFont="1" applyFill="1" applyBorder="1"/>
    <xf numFmtId="1" fontId="3" fillId="5" borderId="9" xfId="1" applyNumberFormat="1" applyFont="1" applyFill="1" applyBorder="1"/>
    <xf numFmtId="1" fontId="3" fillId="5" borderId="10" xfId="1" applyNumberFormat="1" applyFont="1" applyFill="1" applyBorder="1"/>
    <xf numFmtId="1" fontId="3" fillId="0" borderId="8" xfId="1" applyNumberFormat="1" applyFont="1" applyBorder="1"/>
    <xf numFmtId="1" fontId="3" fillId="0" borderId="9" xfId="1" applyNumberFormat="1" applyFont="1" applyBorder="1"/>
    <xf numFmtId="1" fontId="3" fillId="0" borderId="10" xfId="1" applyNumberFormat="1" applyFont="1" applyBorder="1"/>
    <xf numFmtId="1" fontId="3" fillId="4" borderId="1" xfId="1" applyNumberFormat="1" applyFont="1" applyFill="1" applyBorder="1"/>
    <xf numFmtId="1" fontId="3" fillId="4" borderId="0" xfId="1" applyNumberFormat="1" applyFont="1" applyFill="1"/>
    <xf numFmtId="1" fontId="3" fillId="4" borderId="5" xfId="1" applyNumberFormat="1" applyFont="1" applyFill="1" applyBorder="1"/>
    <xf numFmtId="1" fontId="3" fillId="5" borderId="1" xfId="1" applyNumberFormat="1" applyFont="1" applyFill="1" applyBorder="1"/>
    <xf numFmtId="1" fontId="3" fillId="5" borderId="0" xfId="1" applyNumberFormat="1" applyFont="1" applyFill="1"/>
    <xf numFmtId="1" fontId="3" fillId="5" borderId="5" xfId="1" applyNumberFormat="1" applyFont="1" applyFill="1" applyBorder="1"/>
    <xf numFmtId="1" fontId="3" fillId="0" borderId="1" xfId="1" applyNumberFormat="1" applyFont="1" applyBorder="1"/>
    <xf numFmtId="1" fontId="3" fillId="0" borderId="5" xfId="1" applyNumberFormat="1" applyFont="1" applyBorder="1"/>
    <xf numFmtId="1" fontId="3" fillId="4" borderId="3" xfId="1" applyNumberFormat="1" applyFont="1" applyFill="1" applyBorder="1"/>
    <xf numFmtId="1" fontId="3" fillId="4" borderId="2" xfId="1" applyNumberFormat="1" applyFont="1" applyFill="1" applyBorder="1"/>
    <xf numFmtId="1" fontId="3" fillId="4" borderId="4" xfId="1" applyNumberFormat="1" applyFont="1" applyFill="1" applyBorder="1"/>
    <xf numFmtId="1" fontId="3" fillId="5" borderId="3" xfId="1" applyNumberFormat="1" applyFont="1" applyFill="1" applyBorder="1"/>
    <xf numFmtId="1" fontId="3" fillId="5" borderId="2" xfId="1" applyNumberFormat="1" applyFont="1" applyFill="1" applyBorder="1"/>
    <xf numFmtId="1" fontId="3" fillId="5" borderId="4" xfId="1" applyNumberFormat="1" applyFont="1" applyFill="1" applyBorder="1"/>
    <xf numFmtId="1" fontId="3" fillId="0" borderId="3" xfId="1" applyNumberFormat="1" applyFont="1" applyBorder="1"/>
    <xf numFmtId="1" fontId="3" fillId="0" borderId="2" xfId="1" applyNumberFormat="1" applyFont="1" applyBorder="1"/>
    <xf numFmtId="1" fontId="3" fillId="0" borderId="4" xfId="1" applyNumberFormat="1" applyFont="1" applyBorder="1"/>
    <xf numFmtId="1" fontId="4" fillId="0" borderId="0" xfId="1" applyNumberFormat="1" applyFont="1"/>
    <xf numFmtId="1" fontId="4" fillId="0" borderId="0" xfId="1" applyNumberFormat="1" applyFont="1" applyAlignment="1">
      <alignment horizontal="right"/>
    </xf>
    <xf numFmtId="1" fontId="3" fillId="0" borderId="0" xfId="1" applyNumberFormat="1" applyFont="1" applyAlignment="1">
      <alignment horizontal="right"/>
    </xf>
    <xf numFmtId="1" fontId="3" fillId="2" borderId="0" xfId="1" applyNumberFormat="1" applyFont="1" applyFill="1"/>
    <xf numFmtId="0" fontId="4" fillId="0" borderId="0" xfId="1" applyFont="1" applyAlignment="1">
      <alignment horizontal="right"/>
    </xf>
    <xf numFmtId="0" fontId="1" fillId="0" borderId="0" xfId="1"/>
    <xf numFmtId="0" fontId="1" fillId="0" borderId="1" xfId="1" applyBorder="1"/>
    <xf numFmtId="0" fontId="1" fillId="0" borderId="2" xfId="1" applyBorder="1"/>
    <xf numFmtId="0" fontId="1" fillId="0" borderId="3" xfId="1" applyBorder="1"/>
    <xf numFmtId="0" fontId="11" fillId="0" borderId="2" xfId="1" applyFont="1" applyBorder="1"/>
    <xf numFmtId="0" fontId="11" fillId="0" borderId="0" xfId="1" applyFont="1"/>
    <xf numFmtId="0" fontId="1" fillId="0" borderId="4" xfId="1" applyBorder="1"/>
    <xf numFmtId="2" fontId="1" fillId="5" borderId="1" xfId="1" applyNumberFormat="1" applyFill="1" applyBorder="1"/>
    <xf numFmtId="2" fontId="1" fillId="5" borderId="0" xfId="1" applyNumberFormat="1" applyFill="1"/>
    <xf numFmtId="0" fontId="12" fillId="0" borderId="0" xfId="1" applyFont="1"/>
    <xf numFmtId="0" fontId="1" fillId="0" borderId="1" xfId="1" applyNumberFormat="1" applyBorder="1"/>
    <xf numFmtId="0" fontId="1" fillId="0" borderId="0" xfId="1" applyNumberFormat="1"/>
    <xf numFmtId="0" fontId="1" fillId="2" borderId="1" xfId="1" applyNumberFormat="1" applyFill="1" applyBorder="1"/>
    <xf numFmtId="2" fontId="1" fillId="0" borderId="1" xfId="1" applyNumberFormat="1" applyBorder="1"/>
  </cellXfs>
  <cellStyles count="2">
    <cellStyle name="Normal" xfId="0" builtinId="0"/>
    <cellStyle name="Normal 2" xfId="1" xr:uid="{0D8BF5B8-A7EA-4B1C-8445-B063C043548A}"/>
  </cellStyles>
  <dxfs count="1">
    <dxf>
      <font>
        <condense val="0"/>
        <extend val="0"/>
        <color auto="1"/>
      </font>
      <fill>
        <patternFill>
          <bgColor indexed="1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819150</xdr:colOff>
      <xdr:row>16</xdr:row>
      <xdr:rowOff>66675</xdr:rowOff>
    </xdr:from>
    <xdr:to>
      <xdr:col>5</xdr:col>
      <xdr:colOff>400050</xdr:colOff>
      <xdr:row>24</xdr:row>
      <xdr:rowOff>47625</xdr:rowOff>
    </xdr:to>
    <xdr:sp macro="" textlink="">
      <xdr:nvSpPr>
        <xdr:cNvPr id="2" name="Oval 2">
          <a:extLst>
            <a:ext uri="{FF2B5EF4-FFF2-40B4-BE49-F238E27FC236}">
              <a16:creationId xmlns:a16="http://schemas.microsoft.com/office/drawing/2014/main" id="{00000000-0008-0000-0000-000002000000}"/>
            </a:ext>
          </a:extLst>
        </xdr:cNvPr>
        <xdr:cNvSpPr>
          <a:spLocks noChangeArrowheads="1"/>
        </xdr:cNvSpPr>
      </xdr:nvSpPr>
      <xdr:spPr bwMode="auto">
        <a:xfrm>
          <a:off x="1606550" y="3559175"/>
          <a:ext cx="3422650" cy="18097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752475</xdr:colOff>
      <xdr:row>5</xdr:row>
      <xdr:rowOff>180975</xdr:rowOff>
    </xdr:from>
    <xdr:to>
      <xdr:col>6</xdr:col>
      <xdr:colOff>171450</xdr:colOff>
      <xdr:row>16</xdr:row>
      <xdr:rowOff>9525</xdr:rowOff>
    </xdr:to>
    <xdr:sp macro="" textlink="">
      <xdr:nvSpPr>
        <xdr:cNvPr id="3" name="Oval 3">
          <a:extLst>
            <a:ext uri="{FF2B5EF4-FFF2-40B4-BE49-F238E27FC236}">
              <a16:creationId xmlns:a16="http://schemas.microsoft.com/office/drawing/2014/main" id="{00000000-0008-0000-0000-000003000000}"/>
            </a:ext>
          </a:extLst>
        </xdr:cNvPr>
        <xdr:cNvSpPr>
          <a:spLocks noChangeArrowheads="1"/>
        </xdr:cNvSpPr>
      </xdr:nvSpPr>
      <xdr:spPr bwMode="auto">
        <a:xfrm>
          <a:off x="1539875" y="1069975"/>
          <a:ext cx="4111625" cy="24320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57150</xdr:colOff>
      <xdr:row>13</xdr:row>
      <xdr:rowOff>66675</xdr:rowOff>
    </xdr:from>
    <xdr:to>
      <xdr:col>7</xdr:col>
      <xdr:colOff>47625</xdr:colOff>
      <xdr:row>15</xdr:row>
      <xdr:rowOff>28575</xdr:rowOff>
    </xdr:to>
    <xdr:sp macro="" textlink="">
      <xdr:nvSpPr>
        <xdr:cNvPr id="4" name="Line 4">
          <a:extLst>
            <a:ext uri="{FF2B5EF4-FFF2-40B4-BE49-F238E27FC236}">
              <a16:creationId xmlns:a16="http://schemas.microsoft.com/office/drawing/2014/main" id="{00000000-0008-0000-0000-000004000000}"/>
            </a:ext>
          </a:extLst>
        </xdr:cNvPr>
        <xdr:cNvSpPr>
          <a:spLocks noChangeShapeType="1"/>
        </xdr:cNvSpPr>
      </xdr:nvSpPr>
      <xdr:spPr bwMode="auto">
        <a:xfrm flipH="1" flipV="1">
          <a:off x="5537200" y="2841625"/>
          <a:ext cx="631825" cy="4572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133350</xdr:colOff>
      <xdr:row>22</xdr:row>
      <xdr:rowOff>152400</xdr:rowOff>
    </xdr:from>
    <xdr:to>
      <xdr:col>6</xdr:col>
      <xdr:colOff>0</xdr:colOff>
      <xdr:row>24</xdr:row>
      <xdr:rowOff>76200</xdr:rowOff>
    </xdr:to>
    <xdr:sp macro="" textlink="">
      <xdr:nvSpPr>
        <xdr:cNvPr id="5" name="Line 5">
          <a:extLst>
            <a:ext uri="{FF2B5EF4-FFF2-40B4-BE49-F238E27FC236}">
              <a16:creationId xmlns:a16="http://schemas.microsoft.com/office/drawing/2014/main" id="{00000000-0008-0000-0000-000005000000}"/>
            </a:ext>
          </a:extLst>
        </xdr:cNvPr>
        <xdr:cNvSpPr>
          <a:spLocks noChangeShapeType="1"/>
        </xdr:cNvSpPr>
      </xdr:nvSpPr>
      <xdr:spPr bwMode="auto">
        <a:xfrm flipH="1" flipV="1">
          <a:off x="4762500" y="5029200"/>
          <a:ext cx="717550" cy="3683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342900</xdr:colOff>
      <xdr:row>30</xdr:row>
      <xdr:rowOff>66675</xdr:rowOff>
    </xdr:from>
    <xdr:to>
      <xdr:col>5</xdr:col>
      <xdr:colOff>523875</xdr:colOff>
      <xdr:row>31</xdr:row>
      <xdr:rowOff>180975</xdr:rowOff>
    </xdr:to>
    <xdr:sp macro="" textlink="">
      <xdr:nvSpPr>
        <xdr:cNvPr id="6" name="Line 6">
          <a:extLst>
            <a:ext uri="{FF2B5EF4-FFF2-40B4-BE49-F238E27FC236}">
              <a16:creationId xmlns:a16="http://schemas.microsoft.com/office/drawing/2014/main" id="{00000000-0008-0000-0000-000006000000}"/>
            </a:ext>
          </a:extLst>
        </xdr:cNvPr>
        <xdr:cNvSpPr>
          <a:spLocks noChangeShapeType="1"/>
        </xdr:cNvSpPr>
      </xdr:nvSpPr>
      <xdr:spPr bwMode="auto">
        <a:xfrm flipH="1">
          <a:off x="4972050" y="6727825"/>
          <a:ext cx="180975" cy="3365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241300</xdr:colOff>
          <xdr:row>35</xdr:row>
          <xdr:rowOff>69850</xdr:rowOff>
        </xdr:from>
        <xdr:to>
          <xdr:col>7</xdr:col>
          <xdr:colOff>469900</xdr:colOff>
          <xdr:row>48</xdr:row>
          <xdr:rowOff>107950</xdr:rowOff>
        </xdr:to>
        <xdr:sp macro="" textlink="">
          <xdr:nvSpPr>
            <xdr:cNvPr id="16385" name="Object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819150</xdr:colOff>
      <xdr:row>16</xdr:row>
      <xdr:rowOff>66675</xdr:rowOff>
    </xdr:from>
    <xdr:to>
      <xdr:col>5</xdr:col>
      <xdr:colOff>400050</xdr:colOff>
      <xdr:row>24</xdr:row>
      <xdr:rowOff>47625</xdr:rowOff>
    </xdr:to>
    <xdr:sp macro="" textlink="">
      <xdr:nvSpPr>
        <xdr:cNvPr id="2" name="Oval 2">
          <a:extLst>
            <a:ext uri="{FF2B5EF4-FFF2-40B4-BE49-F238E27FC236}">
              <a16:creationId xmlns:a16="http://schemas.microsoft.com/office/drawing/2014/main" id="{00000000-0008-0000-0100-000002000000}"/>
            </a:ext>
          </a:extLst>
        </xdr:cNvPr>
        <xdr:cNvSpPr>
          <a:spLocks noChangeArrowheads="1"/>
        </xdr:cNvSpPr>
      </xdr:nvSpPr>
      <xdr:spPr bwMode="auto">
        <a:xfrm>
          <a:off x="1606550" y="3457575"/>
          <a:ext cx="3422650" cy="18097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752475</xdr:colOff>
      <xdr:row>5</xdr:row>
      <xdr:rowOff>180975</xdr:rowOff>
    </xdr:from>
    <xdr:to>
      <xdr:col>6</xdr:col>
      <xdr:colOff>171450</xdr:colOff>
      <xdr:row>16</xdr:row>
      <xdr:rowOff>9525</xdr:rowOff>
    </xdr:to>
    <xdr:sp macro="" textlink="">
      <xdr:nvSpPr>
        <xdr:cNvPr id="3" name="Oval 3">
          <a:extLst>
            <a:ext uri="{FF2B5EF4-FFF2-40B4-BE49-F238E27FC236}">
              <a16:creationId xmlns:a16="http://schemas.microsoft.com/office/drawing/2014/main" id="{00000000-0008-0000-0100-000003000000}"/>
            </a:ext>
          </a:extLst>
        </xdr:cNvPr>
        <xdr:cNvSpPr>
          <a:spLocks noChangeArrowheads="1"/>
        </xdr:cNvSpPr>
      </xdr:nvSpPr>
      <xdr:spPr bwMode="auto">
        <a:xfrm>
          <a:off x="1539875" y="1069975"/>
          <a:ext cx="4111625" cy="23304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57150</xdr:colOff>
      <xdr:row>13</xdr:row>
      <xdr:rowOff>66675</xdr:rowOff>
    </xdr:from>
    <xdr:to>
      <xdr:col>7</xdr:col>
      <xdr:colOff>47625</xdr:colOff>
      <xdr:row>15</xdr:row>
      <xdr:rowOff>28575</xdr:rowOff>
    </xdr:to>
    <xdr:sp macro="" textlink="">
      <xdr:nvSpPr>
        <xdr:cNvPr id="4" name="Line 4">
          <a:extLst>
            <a:ext uri="{FF2B5EF4-FFF2-40B4-BE49-F238E27FC236}">
              <a16:creationId xmlns:a16="http://schemas.microsoft.com/office/drawing/2014/main" id="{00000000-0008-0000-0100-000004000000}"/>
            </a:ext>
          </a:extLst>
        </xdr:cNvPr>
        <xdr:cNvSpPr>
          <a:spLocks noChangeShapeType="1"/>
        </xdr:cNvSpPr>
      </xdr:nvSpPr>
      <xdr:spPr bwMode="auto">
        <a:xfrm flipH="1" flipV="1">
          <a:off x="5537200" y="2790825"/>
          <a:ext cx="377825" cy="406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133350</xdr:colOff>
      <xdr:row>22</xdr:row>
      <xdr:rowOff>152400</xdr:rowOff>
    </xdr:from>
    <xdr:to>
      <xdr:col>6</xdr:col>
      <xdr:colOff>0</xdr:colOff>
      <xdr:row>24</xdr:row>
      <xdr:rowOff>76200</xdr:rowOff>
    </xdr:to>
    <xdr:sp macro="" textlink="">
      <xdr:nvSpPr>
        <xdr:cNvPr id="5" name="Line 5">
          <a:extLst>
            <a:ext uri="{FF2B5EF4-FFF2-40B4-BE49-F238E27FC236}">
              <a16:creationId xmlns:a16="http://schemas.microsoft.com/office/drawing/2014/main" id="{00000000-0008-0000-0100-000005000000}"/>
            </a:ext>
          </a:extLst>
        </xdr:cNvPr>
        <xdr:cNvSpPr>
          <a:spLocks noChangeShapeType="1"/>
        </xdr:cNvSpPr>
      </xdr:nvSpPr>
      <xdr:spPr bwMode="auto">
        <a:xfrm flipH="1" flipV="1">
          <a:off x="4762500" y="4927600"/>
          <a:ext cx="717550" cy="3683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342900</xdr:colOff>
      <xdr:row>30</xdr:row>
      <xdr:rowOff>66675</xdr:rowOff>
    </xdr:from>
    <xdr:to>
      <xdr:col>5</xdr:col>
      <xdr:colOff>523875</xdr:colOff>
      <xdr:row>31</xdr:row>
      <xdr:rowOff>180975</xdr:rowOff>
    </xdr:to>
    <xdr:sp macro="" textlink="">
      <xdr:nvSpPr>
        <xdr:cNvPr id="6" name="Line 6">
          <a:extLst>
            <a:ext uri="{FF2B5EF4-FFF2-40B4-BE49-F238E27FC236}">
              <a16:creationId xmlns:a16="http://schemas.microsoft.com/office/drawing/2014/main" id="{00000000-0008-0000-0100-000006000000}"/>
            </a:ext>
          </a:extLst>
        </xdr:cNvPr>
        <xdr:cNvSpPr>
          <a:spLocks noChangeShapeType="1"/>
        </xdr:cNvSpPr>
      </xdr:nvSpPr>
      <xdr:spPr bwMode="auto">
        <a:xfrm flipH="1">
          <a:off x="4972050" y="6626225"/>
          <a:ext cx="180975" cy="3365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241300</xdr:colOff>
          <xdr:row>35</xdr:row>
          <xdr:rowOff>69850</xdr:rowOff>
        </xdr:from>
        <xdr:to>
          <xdr:col>8</xdr:col>
          <xdr:colOff>304800</xdr:colOff>
          <xdr:row>48</xdr:row>
          <xdr:rowOff>107950</xdr:rowOff>
        </xdr:to>
        <xdr:sp macro="" textlink="">
          <xdr:nvSpPr>
            <xdr:cNvPr id="23553" name="Object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6</xdr:col>
      <xdr:colOff>201083</xdr:colOff>
      <xdr:row>16</xdr:row>
      <xdr:rowOff>116417</xdr:rowOff>
    </xdr:from>
    <xdr:to>
      <xdr:col>10</xdr:col>
      <xdr:colOff>222251</xdr:colOff>
      <xdr:row>24</xdr:row>
      <xdr:rowOff>21167</xdr:rowOff>
    </xdr:to>
    <xdr:sp macro="" textlink="">
      <xdr:nvSpPr>
        <xdr:cNvPr id="8" name="Oval 2">
          <a:extLst>
            <a:ext uri="{FF2B5EF4-FFF2-40B4-BE49-F238E27FC236}">
              <a16:creationId xmlns:a16="http://schemas.microsoft.com/office/drawing/2014/main" id="{00000000-0008-0000-0100-000008000000}"/>
            </a:ext>
          </a:extLst>
        </xdr:cNvPr>
        <xdr:cNvSpPr>
          <a:spLocks noChangeArrowheads="1"/>
        </xdr:cNvSpPr>
      </xdr:nvSpPr>
      <xdr:spPr bwMode="auto">
        <a:xfrm>
          <a:off x="5681133" y="3507317"/>
          <a:ext cx="1672168" cy="173355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a:lstStyle/>
        <a:p>
          <a:endParaRPr lang="fi-FI"/>
        </a:p>
      </xdr:txBody>
    </xdr:sp>
    <xdr:clientData/>
  </xdr:twoCellAnchor>
  <xdr:twoCellAnchor>
    <xdr:from>
      <xdr:col>6</xdr:col>
      <xdr:colOff>201084</xdr:colOff>
      <xdr:row>23</xdr:row>
      <xdr:rowOff>0</xdr:rowOff>
    </xdr:from>
    <xdr:to>
      <xdr:col>6</xdr:col>
      <xdr:colOff>359832</xdr:colOff>
      <xdr:row>24</xdr:row>
      <xdr:rowOff>31750</xdr:rowOff>
    </xdr:to>
    <xdr:sp macro="" textlink="">
      <xdr:nvSpPr>
        <xdr:cNvPr id="9" name="Line 5">
          <a:extLst>
            <a:ext uri="{FF2B5EF4-FFF2-40B4-BE49-F238E27FC236}">
              <a16:creationId xmlns:a16="http://schemas.microsoft.com/office/drawing/2014/main" id="{00000000-0008-0000-0100-000009000000}"/>
            </a:ext>
          </a:extLst>
        </xdr:cNvPr>
        <xdr:cNvSpPr>
          <a:spLocks noChangeShapeType="1"/>
        </xdr:cNvSpPr>
      </xdr:nvSpPr>
      <xdr:spPr bwMode="auto">
        <a:xfrm flipV="1">
          <a:off x="5681134" y="4997450"/>
          <a:ext cx="158748" cy="2540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107950</xdr:colOff>
          <xdr:row>25</xdr:row>
          <xdr:rowOff>152400</xdr:rowOff>
        </xdr:from>
        <xdr:to>
          <xdr:col>14</xdr:col>
          <xdr:colOff>184150</xdr:colOff>
          <xdr:row>49</xdr:row>
          <xdr:rowOff>152400</xdr:rowOff>
        </xdr:to>
        <xdr:sp macro="" textlink="">
          <xdr:nvSpPr>
            <xdr:cNvPr id="15370" name="Object 10" hidden="1">
              <a:extLst>
                <a:ext uri="{63B3BB69-23CF-44E3-9099-C40C66FF867C}">
                  <a14:compatExt spid="_x0000_s15370"/>
                </a:ext>
                <a:ext uri="{FF2B5EF4-FFF2-40B4-BE49-F238E27FC236}">
                  <a16:creationId xmlns:a16="http://schemas.microsoft.com/office/drawing/2014/main" id="{00000000-0008-0000-0200-00000A3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oleObject" Target="../embeddings/oleObject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oleObject" Target="../embeddings/oleObject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81F8-450A-4926-BA97-01EA4D2F8225}">
  <sheetPr codeName="Sheet2"/>
  <dimension ref="C2:I9"/>
  <sheetViews>
    <sheetView tabSelected="1" zoomScale="150" workbookViewId="0">
      <selection activeCell="F13" sqref="F13"/>
    </sheetView>
  </sheetViews>
  <sheetFormatPr defaultRowHeight="12.5" x14ac:dyDescent="0.25"/>
  <cols>
    <col min="1" max="1" width="8.7265625" style="123"/>
    <col min="2" max="2" width="2.81640625" style="123" customWidth="1"/>
    <col min="3" max="3" width="12.26953125" style="123" bestFit="1" customWidth="1"/>
    <col min="4" max="4" width="14.54296875" style="123" bestFit="1" customWidth="1"/>
    <col min="5" max="5" width="9.26953125" style="123" bestFit="1" customWidth="1"/>
    <col min="6" max="6" width="10" style="123" bestFit="1" customWidth="1"/>
    <col min="7" max="7" width="2" style="123" customWidth="1"/>
    <col min="8" max="16384" width="8.7265625" style="123"/>
  </cols>
  <sheetData>
    <row r="2" spans="3:9" x14ac:dyDescent="0.25">
      <c r="D2" s="124" t="s">
        <v>54</v>
      </c>
      <c r="F2" s="124"/>
    </row>
    <row r="3" spans="3:9" x14ac:dyDescent="0.25">
      <c r="C3" s="125"/>
      <c r="D3" s="126" t="s">
        <v>46</v>
      </c>
      <c r="E3" s="125" t="s">
        <v>47</v>
      </c>
      <c r="F3" s="126" t="s">
        <v>48</v>
      </c>
      <c r="G3" s="127"/>
      <c r="H3" s="125" t="s">
        <v>50</v>
      </c>
      <c r="I3" s="125"/>
    </row>
    <row r="4" spans="3:9" x14ac:dyDescent="0.25">
      <c r="C4" s="123" t="s">
        <v>51</v>
      </c>
      <c r="D4" s="124">
        <v>1</v>
      </c>
      <c r="E4" s="123">
        <v>0</v>
      </c>
      <c r="F4" s="136">
        <f>D4*D$8+E4*E$8</f>
        <v>3.333333333333333</v>
      </c>
      <c r="G4" s="128" t="s">
        <v>49</v>
      </c>
      <c r="H4" s="123">
        <v>4</v>
      </c>
    </row>
    <row r="5" spans="3:9" x14ac:dyDescent="0.25">
      <c r="C5" s="123" t="s">
        <v>52</v>
      </c>
      <c r="D5" s="124">
        <v>0</v>
      </c>
      <c r="E5" s="123">
        <v>1</v>
      </c>
      <c r="F5" s="124">
        <f>SUMPRODUCT(D$8:E$8,D5:E5)</f>
        <v>4</v>
      </c>
      <c r="G5" s="128" t="s">
        <v>49</v>
      </c>
      <c r="H5" s="123">
        <v>4</v>
      </c>
    </row>
    <row r="6" spans="3:9" x14ac:dyDescent="0.25">
      <c r="C6" s="129" t="s">
        <v>53</v>
      </c>
      <c r="D6" s="126">
        <v>3</v>
      </c>
      <c r="E6" s="125">
        <v>2</v>
      </c>
      <c r="F6" s="126">
        <f>SUMPRODUCT(D$8:E$8,D6:E6)</f>
        <v>18</v>
      </c>
      <c r="G6" s="127" t="s">
        <v>49</v>
      </c>
      <c r="H6" s="125">
        <v>18</v>
      </c>
      <c r="I6" s="125"/>
    </row>
    <row r="7" spans="3:9" x14ac:dyDescent="0.25">
      <c r="C7" s="123" t="s">
        <v>56</v>
      </c>
      <c r="D7" s="133">
        <v>3</v>
      </c>
      <c r="E7" s="134">
        <v>5</v>
      </c>
      <c r="F7" s="135">
        <f>SUMPRODUCT(D$8:E$8,D7:E7)</f>
        <v>30</v>
      </c>
    </row>
    <row r="8" spans="3:9" ht="13" x14ac:dyDescent="0.3">
      <c r="C8" s="123" t="s">
        <v>55</v>
      </c>
      <c r="D8" s="130">
        <v>3.333333333333333</v>
      </c>
      <c r="E8" s="131">
        <v>4</v>
      </c>
      <c r="F8" s="124"/>
      <c r="I8" s="132"/>
    </row>
    <row r="9" spans="3:9" ht="13" x14ac:dyDescent="0.3">
      <c r="G9" s="132"/>
    </row>
  </sheetData>
  <pageMargins left="0.75" right="0.75" top="1" bottom="1" header="0.5" footer="0.5"/>
  <pageSetup paperSize="9" scale="115"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C1553-5EF0-4E80-986C-44B6A7CDBD19}">
  <dimension ref="A1:H41"/>
  <sheetViews>
    <sheetView topLeftCell="A5" zoomScale="60" zoomScaleNormal="60" workbookViewId="0">
      <selection activeCell="C18" sqref="C18:E22"/>
    </sheetView>
  </sheetViews>
  <sheetFormatPr defaultColWidth="9.1796875" defaultRowHeight="17.5" x14ac:dyDescent="0.35"/>
  <cols>
    <col min="1" max="1" width="11.26953125" style="25" customWidth="1"/>
    <col min="2" max="2" width="19.453125" style="25" customWidth="1"/>
    <col min="3" max="3" width="10.81640625" style="25" customWidth="1"/>
    <col min="4" max="4" width="12.26953125" style="25" customWidth="1"/>
    <col min="5" max="5" width="12.453125" style="25" customWidth="1"/>
    <col min="6" max="6" width="12.1796875" style="25" customWidth="1"/>
    <col min="7" max="16384" width="9.1796875" style="25"/>
  </cols>
  <sheetData>
    <row r="1" spans="1:8" ht="18" x14ac:dyDescent="0.4">
      <c r="A1" s="24" t="s">
        <v>27</v>
      </c>
    </row>
    <row r="2" spans="1:8" ht="8.25" customHeight="1" x14ac:dyDescent="0.35"/>
    <row r="3" spans="1:8" x14ac:dyDescent="0.35">
      <c r="A3" s="25" t="s">
        <v>28</v>
      </c>
    </row>
    <row r="4" spans="1:8" x14ac:dyDescent="0.35">
      <c r="A4" s="25" t="s">
        <v>29</v>
      </c>
    </row>
    <row r="5" spans="1:8" ht="9" customHeight="1" x14ac:dyDescent="0.35"/>
    <row r="6" spans="1:8" ht="18" x14ac:dyDescent="0.4">
      <c r="A6" s="26" t="s">
        <v>8</v>
      </c>
    </row>
    <row r="7" spans="1:8" ht="21.5" x14ac:dyDescent="0.55000000000000004">
      <c r="A7" s="24" t="s">
        <v>9</v>
      </c>
      <c r="C7" s="25" t="s">
        <v>18</v>
      </c>
    </row>
    <row r="8" spans="1:8" ht="21.5" x14ac:dyDescent="0.55000000000000004">
      <c r="B8" s="25" t="s">
        <v>10</v>
      </c>
      <c r="C8" s="25" t="s">
        <v>0</v>
      </c>
      <c r="D8" s="11" t="s">
        <v>1</v>
      </c>
      <c r="E8" s="25" t="s">
        <v>2</v>
      </c>
      <c r="F8" s="25" t="s">
        <v>39</v>
      </c>
    </row>
    <row r="9" spans="1:8" x14ac:dyDescent="0.35">
      <c r="B9" s="25" t="s">
        <v>11</v>
      </c>
      <c r="C9" s="66">
        <v>2.5468038547659133</v>
      </c>
      <c r="D9" s="67">
        <v>3.4631619034119909</v>
      </c>
      <c r="E9" s="68">
        <v>3.2967876830163334</v>
      </c>
      <c r="F9" s="65">
        <v>19000</v>
      </c>
    </row>
    <row r="10" spans="1:8" x14ac:dyDescent="0.35">
      <c r="B10" s="25" t="s">
        <v>12</v>
      </c>
      <c r="C10" s="69">
        <v>2.1759836551119811</v>
      </c>
      <c r="D10" s="70">
        <v>2.5519382405745867</v>
      </c>
      <c r="E10" s="71">
        <v>3.8039752175176229</v>
      </c>
      <c r="F10" s="65">
        <v>24000</v>
      </c>
    </row>
    <row r="11" spans="1:8" x14ac:dyDescent="0.35">
      <c r="B11" s="25" t="s">
        <v>13</v>
      </c>
      <c r="C11" s="69">
        <v>2.0939786841111001</v>
      </c>
      <c r="D11" s="70">
        <v>3.1945924700353849</v>
      </c>
      <c r="E11" s="71">
        <v>3.0032057087333301</v>
      </c>
      <c r="F11" s="65">
        <v>32000</v>
      </c>
    </row>
    <row r="12" spans="1:8" x14ac:dyDescent="0.35">
      <c r="B12" s="25" t="s">
        <v>14</v>
      </c>
      <c r="C12" s="69">
        <v>2.2777601722517167</v>
      </c>
      <c r="D12" s="70">
        <v>3.1790338945839256</v>
      </c>
      <c r="E12" s="71">
        <v>3.8262364022904576</v>
      </c>
      <c r="F12" s="65">
        <v>8000</v>
      </c>
    </row>
    <row r="13" spans="1:8" x14ac:dyDescent="0.35">
      <c r="B13" s="25" t="s">
        <v>15</v>
      </c>
      <c r="C13" s="69">
        <v>2.0513253673935701</v>
      </c>
      <c r="D13" s="70">
        <v>3.1079436828634854</v>
      </c>
      <c r="E13" s="71">
        <v>3.4840033211162673</v>
      </c>
      <c r="F13" s="65">
        <v>41000</v>
      </c>
    </row>
    <row r="14" spans="1:8" x14ac:dyDescent="0.35">
      <c r="B14" s="25" t="s">
        <v>16</v>
      </c>
      <c r="C14" s="72">
        <v>2.4243804091607162</v>
      </c>
      <c r="D14" s="73">
        <v>2.6339245164770508</v>
      </c>
      <c r="E14" s="74">
        <v>3.7923757863268994</v>
      </c>
      <c r="F14" s="65">
        <v>22000</v>
      </c>
    </row>
    <row r="15" spans="1:8" ht="21.5" x14ac:dyDescent="0.55000000000000004">
      <c r="B15" s="25" t="s">
        <v>40</v>
      </c>
      <c r="C15" s="65">
        <f>3200*60*0.7</f>
        <v>134400</v>
      </c>
      <c r="D15" s="65">
        <f>3200*60*0.7</f>
        <v>134400</v>
      </c>
      <c r="E15" s="65">
        <f>3200*60*0.7</f>
        <v>134400</v>
      </c>
    </row>
    <row r="16" spans="1:8" x14ac:dyDescent="0.35">
      <c r="H16" s="12" t="s">
        <v>19</v>
      </c>
    </row>
    <row r="17" spans="1:7" ht="21.5" x14ac:dyDescent="0.55000000000000004">
      <c r="A17" s="24" t="s">
        <v>20</v>
      </c>
      <c r="C17" s="25" t="s">
        <v>0</v>
      </c>
      <c r="D17" s="11" t="s">
        <v>1</v>
      </c>
      <c r="E17" s="25" t="s">
        <v>2</v>
      </c>
    </row>
    <row r="18" spans="1:7" x14ac:dyDescent="0.35">
      <c r="B18" s="25" t="s">
        <v>11</v>
      </c>
      <c r="C18" s="55">
        <v>0</v>
      </c>
      <c r="D18" s="56">
        <v>0</v>
      </c>
      <c r="E18" s="57">
        <v>19000</v>
      </c>
      <c r="F18" s="75">
        <f t="shared" ref="F18:F23" si="0">SUM(C18:E18)</f>
        <v>19000</v>
      </c>
    </row>
    <row r="19" spans="1:7" x14ac:dyDescent="0.35">
      <c r="B19" s="25" t="s">
        <v>12</v>
      </c>
      <c r="C19" s="58">
        <v>0</v>
      </c>
      <c r="D19" s="59">
        <v>24000</v>
      </c>
      <c r="E19" s="60">
        <v>0</v>
      </c>
      <c r="F19" s="75">
        <f t="shared" si="0"/>
        <v>24000</v>
      </c>
    </row>
    <row r="20" spans="1:7" x14ac:dyDescent="0.35">
      <c r="B20" s="25" t="s">
        <v>13</v>
      </c>
      <c r="C20" s="58">
        <v>20520.463026975725</v>
      </c>
      <c r="D20" s="59">
        <v>0</v>
      </c>
      <c r="E20" s="60">
        <v>11479.536973024275</v>
      </c>
      <c r="F20" s="75">
        <f t="shared" si="0"/>
        <v>32000</v>
      </c>
    </row>
    <row r="21" spans="1:7" x14ac:dyDescent="0.35">
      <c r="B21" s="25" t="s">
        <v>14</v>
      </c>
      <c r="C21" s="58">
        <v>3216.426320706119</v>
      </c>
      <c r="D21" s="59">
        <v>4783.5736792938806</v>
      </c>
      <c r="E21" s="60">
        <v>0</v>
      </c>
      <c r="F21" s="75">
        <f t="shared" si="0"/>
        <v>8000</v>
      </c>
    </row>
    <row r="22" spans="1:7" x14ac:dyDescent="0.35">
      <c r="B22" s="25" t="s">
        <v>15</v>
      </c>
      <c r="C22" s="58">
        <v>40999.999999999993</v>
      </c>
      <c r="D22" s="59">
        <v>0</v>
      </c>
      <c r="E22" s="60">
        <v>0</v>
      </c>
      <c r="F22" s="75">
        <f t="shared" si="0"/>
        <v>40999.999999999993</v>
      </c>
    </row>
    <row r="23" spans="1:7" x14ac:dyDescent="0.35">
      <c r="B23" s="25" t="s">
        <v>16</v>
      </c>
      <c r="C23" s="61">
        <v>0</v>
      </c>
      <c r="D23" s="62">
        <v>22000</v>
      </c>
      <c r="E23" s="63">
        <v>0</v>
      </c>
      <c r="F23" s="75">
        <f t="shared" si="0"/>
        <v>22000</v>
      </c>
    </row>
    <row r="25" spans="1:7" x14ac:dyDescent="0.35">
      <c r="C25" s="36" t="s">
        <v>3</v>
      </c>
      <c r="G25" s="37" t="s">
        <v>21</v>
      </c>
    </row>
    <row r="26" spans="1:7" ht="18" x14ac:dyDescent="0.4">
      <c r="A26" s="24" t="s">
        <v>23</v>
      </c>
      <c r="C26" s="25" t="s">
        <v>0</v>
      </c>
      <c r="D26" s="11" t="s">
        <v>1</v>
      </c>
      <c r="E26" s="25" t="s">
        <v>2</v>
      </c>
    </row>
    <row r="27" spans="1:7" x14ac:dyDescent="0.35">
      <c r="A27" s="38" t="s">
        <v>4</v>
      </c>
      <c r="B27" s="25" t="s">
        <v>11</v>
      </c>
      <c r="C27" s="27">
        <f t="shared" ref="C27:E32" si="1">C9*C18</f>
        <v>0</v>
      </c>
      <c r="D27" s="28">
        <f t="shared" si="1"/>
        <v>0</v>
      </c>
      <c r="E27" s="29">
        <f t="shared" si="1"/>
        <v>62638.965977310334</v>
      </c>
    </row>
    <row r="28" spans="1:7" x14ac:dyDescent="0.35">
      <c r="B28" s="25" t="s">
        <v>12</v>
      </c>
      <c r="C28" s="30">
        <f t="shared" si="1"/>
        <v>0</v>
      </c>
      <c r="D28" s="31">
        <f t="shared" si="1"/>
        <v>61246.517773790081</v>
      </c>
      <c r="E28" s="32">
        <f t="shared" si="1"/>
        <v>0</v>
      </c>
    </row>
    <row r="29" spans="1:7" x14ac:dyDescent="0.35">
      <c r="B29" s="25" t="s">
        <v>13</v>
      </c>
      <c r="C29" s="30">
        <f t="shared" si="1"/>
        <v>42969.412166577109</v>
      </c>
      <c r="D29" s="31">
        <f t="shared" si="1"/>
        <v>0</v>
      </c>
      <c r="E29" s="32">
        <f t="shared" si="1"/>
        <v>34475.410971001831</v>
      </c>
    </row>
    <row r="30" spans="1:7" x14ac:dyDescent="0.35">
      <c r="B30" s="25" t="s">
        <v>14</v>
      </c>
      <c r="C30" s="30">
        <f t="shared" si="1"/>
        <v>7326.2477702865244</v>
      </c>
      <c r="D30" s="31">
        <f t="shared" si="1"/>
        <v>15207.142863714784</v>
      </c>
      <c r="E30" s="32">
        <f t="shared" si="1"/>
        <v>0</v>
      </c>
      <c r="F30" s="36" t="s">
        <v>22</v>
      </c>
    </row>
    <row r="31" spans="1:7" x14ac:dyDescent="0.35">
      <c r="B31" s="25" t="s">
        <v>15</v>
      </c>
      <c r="C31" s="30">
        <f t="shared" si="1"/>
        <v>84104.340063136362</v>
      </c>
      <c r="D31" s="31">
        <f t="shared" si="1"/>
        <v>0</v>
      </c>
      <c r="E31" s="32">
        <f t="shared" si="1"/>
        <v>0</v>
      </c>
    </row>
    <row r="32" spans="1:7" x14ac:dyDescent="0.35">
      <c r="B32" s="25" t="s">
        <v>16</v>
      </c>
      <c r="C32" s="33">
        <f t="shared" si="1"/>
        <v>0</v>
      </c>
      <c r="D32" s="34">
        <f t="shared" si="1"/>
        <v>57946.33936249512</v>
      </c>
      <c r="E32" s="35">
        <f t="shared" si="1"/>
        <v>0</v>
      </c>
      <c r="F32" s="38" t="s">
        <v>5</v>
      </c>
    </row>
    <row r="33" spans="1:6" x14ac:dyDescent="0.35">
      <c r="C33" s="25">
        <f>SUM(C27:C32)</f>
        <v>134400</v>
      </c>
      <c r="D33" s="25">
        <f>SUM(D27:D32)</f>
        <v>134399.99999999997</v>
      </c>
      <c r="E33" s="25">
        <f>SUM(E27:E32)</f>
        <v>97114.376948312158</v>
      </c>
      <c r="F33" s="64">
        <f>SUM(C33:E33)</f>
        <v>365914.37694831216</v>
      </c>
    </row>
    <row r="35" spans="1:6" ht="18" x14ac:dyDescent="0.4">
      <c r="A35" s="26" t="s">
        <v>24</v>
      </c>
    </row>
    <row r="37" spans="1:6" x14ac:dyDescent="0.35">
      <c r="C37" s="39" t="s">
        <v>25</v>
      </c>
    </row>
    <row r="41" spans="1:6" x14ac:dyDescent="0.35">
      <c r="C41" s="39" t="s">
        <v>26</v>
      </c>
    </row>
  </sheetData>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Equation.3" shapeId="16385" r:id="rId4">
          <objectPr defaultSize="0" autoPict="0" r:id="rId5">
            <anchor moveWithCells="1">
              <from>
                <xdr:col>3</xdr:col>
                <xdr:colOff>241300</xdr:colOff>
                <xdr:row>35</xdr:row>
                <xdr:rowOff>69850</xdr:rowOff>
              </from>
              <to>
                <xdr:col>7</xdr:col>
                <xdr:colOff>469900</xdr:colOff>
                <xdr:row>48</xdr:row>
                <xdr:rowOff>107950</xdr:rowOff>
              </to>
            </anchor>
          </objectPr>
        </oleObject>
      </mc:Choice>
      <mc:Fallback>
        <oleObject progId="Equation.3" shapeId="16385"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19795-FDF4-4AA8-946B-CF38B9D812EA}">
  <dimension ref="A1:N41"/>
  <sheetViews>
    <sheetView topLeftCell="A5" zoomScale="60" zoomScaleNormal="60" workbookViewId="0">
      <selection activeCell="T17" sqref="T17"/>
    </sheetView>
  </sheetViews>
  <sheetFormatPr defaultColWidth="9.1796875" defaultRowHeight="17.5" x14ac:dyDescent="0.35"/>
  <cols>
    <col min="1" max="1" width="11.26953125" style="77" customWidth="1"/>
    <col min="2" max="2" width="19.453125" style="77" customWidth="1"/>
    <col min="3" max="3" width="10.81640625" style="77" customWidth="1"/>
    <col min="4" max="4" width="12.26953125" style="77" customWidth="1"/>
    <col min="5" max="5" width="12.453125" style="77" customWidth="1"/>
    <col min="6" max="6" width="12.1796875" style="77" customWidth="1"/>
    <col min="7" max="7" width="5.54296875" style="77" customWidth="1"/>
    <col min="8" max="8" width="6" style="77" customWidth="1"/>
    <col min="9" max="9" width="6.26953125" style="77" customWidth="1"/>
    <col min="10" max="10" width="5.81640625" style="77" customWidth="1"/>
    <col min="11" max="11" width="4.6328125" style="77" customWidth="1"/>
    <col min="12" max="12" width="9.1796875" style="77" customWidth="1"/>
    <col min="13" max="13" width="8.7265625" style="77" customWidth="1"/>
    <col min="14" max="14" width="8.453125" style="77" customWidth="1"/>
    <col min="15" max="16384" width="9.1796875" style="77"/>
  </cols>
  <sheetData>
    <row r="1" spans="1:12" ht="18" x14ac:dyDescent="0.4">
      <c r="A1" s="76" t="s">
        <v>27</v>
      </c>
    </row>
    <row r="2" spans="1:12" ht="8.25" customHeight="1" x14ac:dyDescent="0.35"/>
    <row r="3" spans="1:12" x14ac:dyDescent="0.35">
      <c r="A3" s="77" t="s">
        <v>28</v>
      </c>
    </row>
    <row r="4" spans="1:12" x14ac:dyDescent="0.35">
      <c r="A4" s="77" t="s">
        <v>29</v>
      </c>
    </row>
    <row r="5" spans="1:12" ht="9" customHeight="1" x14ac:dyDescent="0.35"/>
    <row r="6" spans="1:12" ht="18" x14ac:dyDescent="0.4">
      <c r="A6" s="78" t="s">
        <v>8</v>
      </c>
    </row>
    <row r="7" spans="1:12" ht="21.5" x14ac:dyDescent="0.55000000000000004">
      <c r="A7" s="76" t="s">
        <v>9</v>
      </c>
      <c r="C7" s="77" t="s">
        <v>18</v>
      </c>
    </row>
    <row r="8" spans="1:12" x14ac:dyDescent="0.35">
      <c r="B8" s="77" t="s">
        <v>10</v>
      </c>
      <c r="C8" s="77" t="s">
        <v>0</v>
      </c>
      <c r="D8" s="79" t="s">
        <v>1</v>
      </c>
      <c r="E8" s="77" t="s">
        <v>2</v>
      </c>
      <c r="F8" s="77" t="s">
        <v>42</v>
      </c>
      <c r="J8" s="77" t="s">
        <v>43</v>
      </c>
    </row>
    <row r="9" spans="1:12" x14ac:dyDescent="0.35">
      <c r="B9" s="77" t="s">
        <v>11</v>
      </c>
      <c r="C9" s="80">
        <v>2.5468038547659133</v>
      </c>
      <c r="D9" s="81">
        <v>3.4631619034119909</v>
      </c>
      <c r="E9" s="82">
        <v>3.2967876830163334</v>
      </c>
      <c r="F9" s="83">
        <v>19000</v>
      </c>
      <c r="L9" s="84">
        <v>2000</v>
      </c>
    </row>
    <row r="10" spans="1:12" x14ac:dyDescent="0.35">
      <c r="B10" s="77" t="s">
        <v>12</v>
      </c>
      <c r="C10" s="85">
        <v>2.1759836551119811</v>
      </c>
      <c r="D10" s="86">
        <v>2.5519382405745867</v>
      </c>
      <c r="E10" s="87">
        <v>3.8039752175176229</v>
      </c>
      <c r="F10" s="83">
        <v>24000</v>
      </c>
    </row>
    <row r="11" spans="1:12" x14ac:dyDescent="0.35">
      <c r="B11" s="77" t="s">
        <v>13</v>
      </c>
      <c r="C11" s="85">
        <v>2.0939786841111001</v>
      </c>
      <c r="D11" s="86">
        <v>3.1945924700353849</v>
      </c>
      <c r="E11" s="87">
        <v>3.0032057087333301</v>
      </c>
      <c r="F11" s="83">
        <v>32000</v>
      </c>
    </row>
    <row r="12" spans="1:12" x14ac:dyDescent="0.35">
      <c r="B12" s="77" t="s">
        <v>14</v>
      </c>
      <c r="C12" s="85">
        <v>2.2777601722517167</v>
      </c>
      <c r="D12" s="86">
        <v>3.1790338945839256</v>
      </c>
      <c r="E12" s="87">
        <v>3.8262364022904576</v>
      </c>
      <c r="F12" s="83">
        <v>8000</v>
      </c>
    </row>
    <row r="13" spans="1:12" x14ac:dyDescent="0.35">
      <c r="B13" s="77" t="s">
        <v>15</v>
      </c>
      <c r="C13" s="85">
        <v>2.0513253673935701</v>
      </c>
      <c r="D13" s="86">
        <v>3.1079436828634854</v>
      </c>
      <c r="E13" s="87">
        <v>3.4840033211162673</v>
      </c>
      <c r="F13" s="83">
        <v>41000</v>
      </c>
    </row>
    <row r="14" spans="1:12" x14ac:dyDescent="0.35">
      <c r="B14" s="77" t="s">
        <v>16</v>
      </c>
      <c r="C14" s="88">
        <v>2.4243804091607162</v>
      </c>
      <c r="D14" s="89">
        <v>2.6339245164770508</v>
      </c>
      <c r="E14" s="90">
        <v>3.7923757863268994</v>
      </c>
      <c r="F14" s="83">
        <v>22000</v>
      </c>
    </row>
    <row r="15" spans="1:12" x14ac:dyDescent="0.35">
      <c r="B15" s="77" t="s">
        <v>17</v>
      </c>
      <c r="C15" s="83">
        <f>3200*60*0.7</f>
        <v>134400</v>
      </c>
      <c r="D15" s="83">
        <f>3200*60*0.7</f>
        <v>134400</v>
      </c>
      <c r="E15" s="83">
        <f>3200*60*0.7</f>
        <v>134400</v>
      </c>
      <c r="L15" s="77" t="s">
        <v>44</v>
      </c>
    </row>
    <row r="16" spans="1:12" x14ac:dyDescent="0.35">
      <c r="H16" s="91" t="s">
        <v>19</v>
      </c>
      <c r="L16" s="84">
        <v>99999</v>
      </c>
    </row>
    <row r="17" spans="1:14" ht="21.5" x14ac:dyDescent="0.55000000000000004">
      <c r="A17" s="76" t="s">
        <v>20</v>
      </c>
      <c r="C17" s="77" t="s">
        <v>0</v>
      </c>
      <c r="D17" s="79" t="s">
        <v>1</v>
      </c>
      <c r="E17" s="77" t="s">
        <v>2</v>
      </c>
    </row>
    <row r="18" spans="1:14" x14ac:dyDescent="0.35">
      <c r="B18" s="77" t="s">
        <v>11</v>
      </c>
      <c r="C18" s="92">
        <v>0</v>
      </c>
      <c r="D18" s="93">
        <v>0</v>
      </c>
      <c r="E18" s="94">
        <v>19000</v>
      </c>
      <c r="F18" s="77">
        <f t="shared" ref="F18:F23" si="0">SUM(C18:E18)</f>
        <v>19000</v>
      </c>
      <c r="H18" s="95">
        <v>0</v>
      </c>
      <c r="I18" s="96">
        <v>0</v>
      </c>
      <c r="J18" s="97">
        <v>1</v>
      </c>
      <c r="L18" s="98">
        <f t="shared" ref="L18:N23" si="1">H18*$L$16</f>
        <v>0</v>
      </c>
      <c r="M18" s="99">
        <f t="shared" si="1"/>
        <v>0</v>
      </c>
      <c r="N18" s="100">
        <f t="shared" si="1"/>
        <v>99999</v>
      </c>
    </row>
    <row r="19" spans="1:14" x14ac:dyDescent="0.35">
      <c r="B19" s="77" t="s">
        <v>12</v>
      </c>
      <c r="C19" s="101">
        <v>0</v>
      </c>
      <c r="D19" s="102">
        <v>24000</v>
      </c>
      <c r="E19" s="103">
        <v>0</v>
      </c>
      <c r="F19" s="77">
        <f t="shared" si="0"/>
        <v>24000</v>
      </c>
      <c r="H19" s="104">
        <v>0</v>
      </c>
      <c r="I19" s="105">
        <v>1</v>
      </c>
      <c r="J19" s="106">
        <v>0</v>
      </c>
      <c r="L19" s="107">
        <f t="shared" si="1"/>
        <v>0</v>
      </c>
      <c r="M19" s="77">
        <f t="shared" si="1"/>
        <v>99999</v>
      </c>
      <c r="N19" s="108">
        <f t="shared" si="1"/>
        <v>0</v>
      </c>
    </row>
    <row r="20" spans="1:14" x14ac:dyDescent="0.35">
      <c r="B20" s="77" t="s">
        <v>13</v>
      </c>
      <c r="C20" s="101">
        <v>12451.692444003189</v>
      </c>
      <c r="D20" s="102">
        <v>0</v>
      </c>
      <c r="E20" s="103">
        <v>19548.307555996813</v>
      </c>
      <c r="F20" s="77">
        <f t="shared" si="0"/>
        <v>32000</v>
      </c>
      <c r="H20" s="104">
        <v>1</v>
      </c>
      <c r="I20" s="105">
        <v>0</v>
      </c>
      <c r="J20" s="106">
        <v>1</v>
      </c>
      <c r="L20" s="107">
        <f t="shared" si="1"/>
        <v>99999</v>
      </c>
      <c r="M20" s="77">
        <f t="shared" si="1"/>
        <v>0</v>
      </c>
      <c r="N20" s="108">
        <f t="shared" si="1"/>
        <v>99999</v>
      </c>
    </row>
    <row r="21" spans="1:14" x14ac:dyDescent="0.35">
      <c r="B21" s="77" t="s">
        <v>14</v>
      </c>
      <c r="C21" s="101">
        <v>8000.0000000000018</v>
      </c>
      <c r="D21" s="102">
        <v>0</v>
      </c>
      <c r="E21" s="103">
        <v>0</v>
      </c>
      <c r="F21" s="77">
        <f t="shared" si="0"/>
        <v>8000.0000000000018</v>
      </c>
      <c r="H21" s="104">
        <v>1</v>
      </c>
      <c r="I21" s="105">
        <v>0</v>
      </c>
      <c r="J21" s="106">
        <v>0</v>
      </c>
      <c r="L21" s="107">
        <f t="shared" si="1"/>
        <v>99999</v>
      </c>
      <c r="M21" s="77">
        <f t="shared" si="1"/>
        <v>0</v>
      </c>
      <c r="N21" s="108">
        <f t="shared" si="1"/>
        <v>0</v>
      </c>
    </row>
    <row r="22" spans="1:14" x14ac:dyDescent="0.35">
      <c r="B22" s="77" t="s">
        <v>15</v>
      </c>
      <c r="C22" s="101">
        <v>41000</v>
      </c>
      <c r="D22" s="102">
        <v>0</v>
      </c>
      <c r="E22" s="103">
        <v>0</v>
      </c>
      <c r="F22" s="77">
        <f t="shared" si="0"/>
        <v>41000</v>
      </c>
      <c r="H22" s="104">
        <v>1</v>
      </c>
      <c r="I22" s="105">
        <v>0</v>
      </c>
      <c r="J22" s="106">
        <v>0</v>
      </c>
      <c r="L22" s="107">
        <f t="shared" si="1"/>
        <v>99999</v>
      </c>
      <c r="M22" s="77">
        <f t="shared" si="1"/>
        <v>0</v>
      </c>
      <c r="N22" s="108">
        <f t="shared" si="1"/>
        <v>0</v>
      </c>
    </row>
    <row r="23" spans="1:14" x14ac:dyDescent="0.35">
      <c r="B23" s="77" t="s">
        <v>16</v>
      </c>
      <c r="C23" s="109">
        <v>0</v>
      </c>
      <c r="D23" s="110">
        <v>22000</v>
      </c>
      <c r="E23" s="111">
        <v>0</v>
      </c>
      <c r="F23" s="77">
        <f t="shared" si="0"/>
        <v>22000</v>
      </c>
      <c r="H23" s="112">
        <v>0</v>
      </c>
      <c r="I23" s="113">
        <v>1</v>
      </c>
      <c r="J23" s="114">
        <v>0</v>
      </c>
      <c r="L23" s="115">
        <f t="shared" si="1"/>
        <v>0</v>
      </c>
      <c r="M23" s="116">
        <f t="shared" si="1"/>
        <v>99999</v>
      </c>
      <c r="N23" s="117">
        <f t="shared" si="1"/>
        <v>0</v>
      </c>
    </row>
    <row r="25" spans="1:14" x14ac:dyDescent="0.35">
      <c r="C25" s="118" t="s">
        <v>3</v>
      </c>
      <c r="G25" s="91" t="s">
        <v>21</v>
      </c>
    </row>
    <row r="26" spans="1:14" ht="18" x14ac:dyDescent="0.4">
      <c r="A26" s="76" t="s">
        <v>23</v>
      </c>
      <c r="C26" s="77" t="s">
        <v>0</v>
      </c>
      <c r="D26" s="79" t="s">
        <v>1</v>
      </c>
      <c r="E26" s="77" t="s">
        <v>2</v>
      </c>
    </row>
    <row r="27" spans="1:14" x14ac:dyDescent="0.35">
      <c r="A27" s="119" t="s">
        <v>4</v>
      </c>
      <c r="B27" s="77" t="s">
        <v>11</v>
      </c>
      <c r="C27" s="98">
        <f t="shared" ref="C27:E32" si="2">C9*C18+H18*$L$9</f>
        <v>0</v>
      </c>
      <c r="D27" s="99">
        <f t="shared" si="2"/>
        <v>0</v>
      </c>
      <c r="E27" s="100">
        <f t="shared" si="2"/>
        <v>64638.965977310334</v>
      </c>
    </row>
    <row r="28" spans="1:14" x14ac:dyDescent="0.35">
      <c r="B28" s="77" t="s">
        <v>12</v>
      </c>
      <c r="C28" s="107">
        <f t="shared" si="2"/>
        <v>0</v>
      </c>
      <c r="D28" s="77">
        <f t="shared" si="2"/>
        <v>63246.517773790081</v>
      </c>
      <c r="E28" s="108">
        <f t="shared" si="2"/>
        <v>0</v>
      </c>
    </row>
    <row r="29" spans="1:14" x14ac:dyDescent="0.35">
      <c r="B29" s="77" t="s">
        <v>13</v>
      </c>
      <c r="C29" s="107">
        <f t="shared" si="2"/>
        <v>28073.578558849924</v>
      </c>
      <c r="D29" s="77">
        <f t="shared" si="2"/>
        <v>0</v>
      </c>
      <c r="E29" s="108">
        <f t="shared" si="2"/>
        <v>60707.588848244523</v>
      </c>
    </row>
    <row r="30" spans="1:14" x14ac:dyDescent="0.35">
      <c r="B30" s="77" t="s">
        <v>14</v>
      </c>
      <c r="C30" s="107">
        <f t="shared" si="2"/>
        <v>20222.081378013736</v>
      </c>
      <c r="D30" s="77">
        <f t="shared" si="2"/>
        <v>0</v>
      </c>
      <c r="E30" s="108">
        <f t="shared" si="2"/>
        <v>0</v>
      </c>
      <c r="F30" s="118" t="s">
        <v>22</v>
      </c>
    </row>
    <row r="31" spans="1:14" x14ac:dyDescent="0.35">
      <c r="B31" s="77" t="s">
        <v>15</v>
      </c>
      <c r="C31" s="107">
        <f t="shared" si="2"/>
        <v>86104.340063136377</v>
      </c>
      <c r="D31" s="77">
        <f t="shared" si="2"/>
        <v>0</v>
      </c>
      <c r="E31" s="108">
        <f t="shared" si="2"/>
        <v>0</v>
      </c>
    </row>
    <row r="32" spans="1:14" x14ac:dyDescent="0.35">
      <c r="B32" s="77" t="s">
        <v>16</v>
      </c>
      <c r="C32" s="115">
        <f t="shared" si="2"/>
        <v>0</v>
      </c>
      <c r="D32" s="116">
        <f t="shared" si="2"/>
        <v>59946.33936249512</v>
      </c>
      <c r="E32" s="117">
        <f t="shared" si="2"/>
        <v>0</v>
      </c>
      <c r="F32" s="119" t="s">
        <v>5</v>
      </c>
    </row>
    <row r="33" spans="1:6" x14ac:dyDescent="0.35">
      <c r="B33" s="120" t="s">
        <v>45</v>
      </c>
      <c r="C33" s="77">
        <f>SUM(C27:C32)</f>
        <v>134400.00000000003</v>
      </c>
      <c r="D33" s="77">
        <f>SUM(D27:D32)</f>
        <v>123192.85713628519</v>
      </c>
      <c r="E33" s="77">
        <f>SUM(E27:E32)</f>
        <v>125346.55482555486</v>
      </c>
      <c r="F33" s="121">
        <f>SUM(C33:E33)</f>
        <v>382939.41196184012</v>
      </c>
    </row>
    <row r="35" spans="1:6" ht="18" x14ac:dyDescent="0.4">
      <c r="A35" s="78" t="s">
        <v>24</v>
      </c>
    </row>
    <row r="37" spans="1:6" x14ac:dyDescent="0.35">
      <c r="C37" s="122" t="s">
        <v>25</v>
      </c>
    </row>
    <row r="41" spans="1:6" x14ac:dyDescent="0.35">
      <c r="C41" s="122" t="s">
        <v>26</v>
      </c>
    </row>
  </sheetData>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Equation.3" shapeId="23553" r:id="rId4">
          <objectPr defaultSize="0" autoPict="0" r:id="rId5">
            <anchor moveWithCells="1">
              <from>
                <xdr:col>3</xdr:col>
                <xdr:colOff>241300</xdr:colOff>
                <xdr:row>35</xdr:row>
                <xdr:rowOff>69850</xdr:rowOff>
              </from>
              <to>
                <xdr:col>8</xdr:col>
                <xdr:colOff>304800</xdr:colOff>
                <xdr:row>48</xdr:row>
                <xdr:rowOff>107950</xdr:rowOff>
              </to>
            </anchor>
          </objectPr>
        </oleObject>
      </mc:Choice>
      <mc:Fallback>
        <oleObject progId="Equation.3" shapeId="23553"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D46"/>
  <sheetViews>
    <sheetView showZeros="0" zoomScale="90" zoomScaleNormal="90" workbookViewId="0"/>
  </sheetViews>
  <sheetFormatPr defaultRowHeight="12.5" x14ac:dyDescent="0.25"/>
  <cols>
    <col min="1" max="1" width="5.81640625" bestFit="1" customWidth="1"/>
    <col min="2" max="2" width="5.1796875" customWidth="1"/>
    <col min="3" max="3" width="8.81640625" customWidth="1"/>
    <col min="4" max="4" width="7.54296875" customWidth="1"/>
    <col min="5" max="25" width="3.81640625" customWidth="1"/>
    <col min="26" max="26" width="2.1796875" customWidth="1"/>
    <col min="27" max="27" width="2.453125" customWidth="1"/>
    <col min="28" max="28" width="1.7265625" customWidth="1"/>
    <col min="29" max="29" width="3.81640625" customWidth="1"/>
    <col min="30" max="30" width="8.7265625" bestFit="1" customWidth="1"/>
    <col min="31" max="31" width="10.26953125" bestFit="1" customWidth="1"/>
    <col min="32" max="32" width="11.7265625" bestFit="1" customWidth="1"/>
    <col min="33" max="54" width="3.81640625" customWidth="1"/>
    <col min="55" max="63" width="5.26953125" customWidth="1"/>
    <col min="64" max="72" width="5" bestFit="1" customWidth="1"/>
  </cols>
  <sheetData>
    <row r="1" spans="1:56" ht="15" x14ac:dyDescent="0.4">
      <c r="E1" s="4" t="s">
        <v>30</v>
      </c>
    </row>
    <row r="2" spans="1:56" ht="15" x14ac:dyDescent="0.4">
      <c r="A2" s="4" t="s">
        <v>31</v>
      </c>
      <c r="B2" s="4" t="s">
        <v>32</v>
      </c>
      <c r="D2" s="4" t="s">
        <v>33</v>
      </c>
      <c r="E2">
        <v>1</v>
      </c>
      <c r="F2">
        <f t="shared" ref="F2:Y2" si="0">1+E2</f>
        <v>2</v>
      </c>
      <c r="G2">
        <f t="shared" si="0"/>
        <v>3</v>
      </c>
      <c r="H2">
        <f t="shared" si="0"/>
        <v>4</v>
      </c>
      <c r="I2">
        <f t="shared" si="0"/>
        <v>5</v>
      </c>
      <c r="J2">
        <f t="shared" si="0"/>
        <v>6</v>
      </c>
      <c r="K2">
        <f t="shared" si="0"/>
        <v>7</v>
      </c>
      <c r="L2">
        <f t="shared" si="0"/>
        <v>8</v>
      </c>
      <c r="M2">
        <f t="shared" si="0"/>
        <v>9</v>
      </c>
      <c r="N2">
        <f t="shared" si="0"/>
        <v>10</v>
      </c>
      <c r="O2">
        <f t="shared" si="0"/>
        <v>11</v>
      </c>
      <c r="P2">
        <f t="shared" si="0"/>
        <v>12</v>
      </c>
      <c r="Q2">
        <f t="shared" si="0"/>
        <v>13</v>
      </c>
      <c r="R2">
        <f t="shared" si="0"/>
        <v>14</v>
      </c>
      <c r="S2">
        <f t="shared" si="0"/>
        <v>15</v>
      </c>
      <c r="T2">
        <f t="shared" si="0"/>
        <v>16</v>
      </c>
      <c r="U2">
        <f t="shared" si="0"/>
        <v>17</v>
      </c>
      <c r="V2">
        <f t="shared" si="0"/>
        <v>18</v>
      </c>
      <c r="W2">
        <f t="shared" si="0"/>
        <v>19</v>
      </c>
      <c r="X2">
        <f t="shared" si="0"/>
        <v>20</v>
      </c>
      <c r="Y2">
        <f t="shared" si="0"/>
        <v>21</v>
      </c>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row>
    <row r="3" spans="1:56" x14ac:dyDescent="0.25">
      <c r="A3">
        <v>1</v>
      </c>
      <c r="B3" s="13">
        <v>3</v>
      </c>
      <c r="C3" s="40">
        <f t="shared" ref="C3:C8" si="1">SUM(E3:Y3)</f>
        <v>3</v>
      </c>
      <c r="E3" s="14">
        <f t="shared" ref="E3:V3" si="2">SUM(E13:G13)</f>
        <v>0</v>
      </c>
      <c r="F3" s="15">
        <f t="shared" si="2"/>
        <v>0</v>
      </c>
      <c r="G3" s="15">
        <f t="shared" si="2"/>
        <v>0</v>
      </c>
      <c r="H3" s="15">
        <f t="shared" si="2"/>
        <v>0</v>
      </c>
      <c r="I3" s="15">
        <f t="shared" si="2"/>
        <v>1</v>
      </c>
      <c r="J3" s="15">
        <f t="shared" si="2"/>
        <v>1</v>
      </c>
      <c r="K3" s="15">
        <f t="shared" si="2"/>
        <v>1</v>
      </c>
      <c r="L3" s="15">
        <f t="shared" si="2"/>
        <v>0</v>
      </c>
      <c r="M3" s="15">
        <f t="shared" si="2"/>
        <v>0</v>
      </c>
      <c r="N3" s="15">
        <f t="shared" si="2"/>
        <v>0</v>
      </c>
      <c r="O3" s="15">
        <f t="shared" si="2"/>
        <v>0</v>
      </c>
      <c r="P3" s="15">
        <f t="shared" si="2"/>
        <v>0</v>
      </c>
      <c r="Q3" s="15">
        <f t="shared" si="2"/>
        <v>0</v>
      </c>
      <c r="R3" s="15">
        <f t="shared" si="2"/>
        <v>0</v>
      </c>
      <c r="S3" s="15">
        <f t="shared" si="2"/>
        <v>0</v>
      </c>
      <c r="T3" s="15">
        <f t="shared" si="2"/>
        <v>0</v>
      </c>
      <c r="U3" s="15">
        <f t="shared" si="2"/>
        <v>0</v>
      </c>
      <c r="V3" s="15">
        <f t="shared" si="2"/>
        <v>0</v>
      </c>
      <c r="W3" s="15">
        <f>SUM(W13:Y13)</f>
        <v>0</v>
      </c>
      <c r="X3" s="15">
        <f>SUM(X13:Z13)</f>
        <v>0</v>
      </c>
      <c r="Y3" s="16">
        <f>SUM(Y13:AA13)</f>
        <v>0</v>
      </c>
      <c r="AA3" s="8"/>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row>
    <row r="4" spans="1:56" x14ac:dyDescent="0.25">
      <c r="A4">
        <f>A3+1</f>
        <v>2</v>
      </c>
      <c r="B4" s="6">
        <v>2</v>
      </c>
      <c r="C4" s="41">
        <f t="shared" si="1"/>
        <v>2</v>
      </c>
      <c r="E4" s="1">
        <f t="shared" ref="E4:V4" si="3">SUM(E14:F14)</f>
        <v>0</v>
      </c>
      <c r="F4" s="7">
        <f t="shared" si="3"/>
        <v>0</v>
      </c>
      <c r="G4" s="7">
        <f t="shared" si="3"/>
        <v>0</v>
      </c>
      <c r="H4" s="7">
        <f t="shared" si="3"/>
        <v>0</v>
      </c>
      <c r="I4" s="7">
        <f t="shared" si="3"/>
        <v>0</v>
      </c>
      <c r="J4" s="7">
        <f t="shared" si="3"/>
        <v>0</v>
      </c>
      <c r="K4" s="7">
        <f t="shared" si="3"/>
        <v>0</v>
      </c>
      <c r="L4" s="7">
        <f t="shared" si="3"/>
        <v>0</v>
      </c>
      <c r="M4" s="7">
        <f t="shared" si="3"/>
        <v>0</v>
      </c>
      <c r="N4" s="7">
        <f t="shared" si="3"/>
        <v>1</v>
      </c>
      <c r="O4" s="7">
        <f t="shared" si="3"/>
        <v>1</v>
      </c>
      <c r="P4" s="7">
        <f t="shared" si="3"/>
        <v>0</v>
      </c>
      <c r="Q4" s="7">
        <f t="shared" si="3"/>
        <v>0</v>
      </c>
      <c r="R4" s="7">
        <f t="shared" si="3"/>
        <v>0</v>
      </c>
      <c r="S4" s="7">
        <f t="shared" si="3"/>
        <v>0</v>
      </c>
      <c r="T4" s="7">
        <f t="shared" si="3"/>
        <v>0</v>
      </c>
      <c r="U4" s="7">
        <f t="shared" si="3"/>
        <v>0</v>
      </c>
      <c r="V4" s="7">
        <f t="shared" si="3"/>
        <v>0</v>
      </c>
      <c r="W4" s="7">
        <f>SUM(W14:X14)</f>
        <v>0</v>
      </c>
      <c r="X4" s="7">
        <f>SUM(X14:Y14)</f>
        <v>0</v>
      </c>
      <c r="Y4" s="10">
        <f>SUM(Y14:Z14)</f>
        <v>0</v>
      </c>
      <c r="AA4" s="8"/>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row>
    <row r="5" spans="1:56" x14ac:dyDescent="0.25">
      <c r="A5">
        <f>A4+1</f>
        <v>3</v>
      </c>
      <c r="B5" s="6">
        <v>3</v>
      </c>
      <c r="C5" s="41">
        <f t="shared" si="1"/>
        <v>3</v>
      </c>
      <c r="E5" s="1">
        <f t="shared" ref="E5:N7" si="4">SUM(E15:G15)</f>
        <v>0</v>
      </c>
      <c r="F5" s="7">
        <f t="shared" si="4"/>
        <v>0</v>
      </c>
      <c r="G5" s="7">
        <f t="shared" si="4"/>
        <v>0</v>
      </c>
      <c r="H5" s="7">
        <f t="shared" si="4"/>
        <v>0</v>
      </c>
      <c r="I5" s="7">
        <f t="shared" si="4"/>
        <v>0</v>
      </c>
      <c r="J5" s="7">
        <f t="shared" si="4"/>
        <v>0</v>
      </c>
      <c r="K5" s="7">
        <f t="shared" si="4"/>
        <v>0</v>
      </c>
      <c r="L5" s="7">
        <f t="shared" si="4"/>
        <v>0</v>
      </c>
      <c r="M5" s="7">
        <f t="shared" si="4"/>
        <v>0</v>
      </c>
      <c r="N5" s="7">
        <f t="shared" si="4"/>
        <v>0</v>
      </c>
      <c r="O5" s="7">
        <f t="shared" ref="O5:V7" si="5">SUM(O15:Q15)</f>
        <v>0</v>
      </c>
      <c r="P5" s="7">
        <f t="shared" si="5"/>
        <v>0</v>
      </c>
      <c r="Q5" s="7">
        <f t="shared" si="5"/>
        <v>0</v>
      </c>
      <c r="R5" s="7">
        <f t="shared" si="5"/>
        <v>0</v>
      </c>
      <c r="S5" s="7">
        <f t="shared" si="5"/>
        <v>0</v>
      </c>
      <c r="T5" s="7">
        <f t="shared" si="5"/>
        <v>1</v>
      </c>
      <c r="U5" s="7">
        <f t="shared" si="5"/>
        <v>1</v>
      </c>
      <c r="V5" s="7">
        <f t="shared" si="5"/>
        <v>1</v>
      </c>
      <c r="W5" s="7">
        <f t="shared" ref="W5:Y7" si="6">SUM(W15:Y15)</f>
        <v>0</v>
      </c>
      <c r="X5" s="7">
        <f t="shared" si="6"/>
        <v>0</v>
      </c>
      <c r="Y5" s="10">
        <f t="shared" si="6"/>
        <v>0</v>
      </c>
      <c r="AA5" s="8"/>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row>
    <row r="6" spans="1:56" x14ac:dyDescent="0.25">
      <c r="A6">
        <f>A5+1</f>
        <v>4</v>
      </c>
      <c r="B6" s="6">
        <v>3</v>
      </c>
      <c r="C6" s="41">
        <f t="shared" si="1"/>
        <v>3</v>
      </c>
      <c r="E6" s="1">
        <f t="shared" si="4"/>
        <v>0</v>
      </c>
      <c r="F6" s="7">
        <f t="shared" si="4"/>
        <v>0</v>
      </c>
      <c r="G6" s="7">
        <f t="shared" si="4"/>
        <v>0</v>
      </c>
      <c r="H6" s="7">
        <f t="shared" si="4"/>
        <v>0</v>
      </c>
      <c r="I6" s="7">
        <f t="shared" si="4"/>
        <v>0</v>
      </c>
      <c r="J6" s="7">
        <f t="shared" si="4"/>
        <v>0</v>
      </c>
      <c r="K6" s="7">
        <f t="shared" si="4"/>
        <v>0</v>
      </c>
      <c r="L6" s="7">
        <f t="shared" si="4"/>
        <v>0</v>
      </c>
      <c r="M6" s="7">
        <f t="shared" si="4"/>
        <v>0</v>
      </c>
      <c r="N6" s="7">
        <f t="shared" si="4"/>
        <v>0</v>
      </c>
      <c r="O6" s="7">
        <f t="shared" si="5"/>
        <v>0</v>
      </c>
      <c r="P6" s="7">
        <f t="shared" si="5"/>
        <v>0</v>
      </c>
      <c r="Q6" s="7">
        <f t="shared" si="5"/>
        <v>1</v>
      </c>
      <c r="R6" s="7">
        <f t="shared" si="5"/>
        <v>1</v>
      </c>
      <c r="S6" s="7">
        <f t="shared" si="5"/>
        <v>1</v>
      </c>
      <c r="T6" s="7">
        <f t="shared" si="5"/>
        <v>0</v>
      </c>
      <c r="U6" s="7">
        <f t="shared" si="5"/>
        <v>0</v>
      </c>
      <c r="V6" s="7">
        <f t="shared" si="5"/>
        <v>0</v>
      </c>
      <c r="W6" s="7">
        <f t="shared" si="6"/>
        <v>0</v>
      </c>
      <c r="X6" s="7">
        <f t="shared" si="6"/>
        <v>0</v>
      </c>
      <c r="Y6" s="10">
        <f t="shared" si="6"/>
        <v>0</v>
      </c>
      <c r="AA6" s="8"/>
      <c r="AB6" s="7"/>
      <c r="AC6" s="7"/>
      <c r="AD6" s="7"/>
      <c r="AE6" s="7"/>
      <c r="AF6" s="7"/>
      <c r="AG6" s="7"/>
      <c r="AH6" s="7"/>
      <c r="AI6" s="7"/>
      <c r="AJ6" s="7"/>
      <c r="AK6" s="7"/>
      <c r="AL6" s="7"/>
      <c r="AM6" s="7"/>
      <c r="AN6" s="7"/>
      <c r="AO6" s="7"/>
      <c r="AP6" s="7"/>
      <c r="AQ6" s="7"/>
      <c r="AR6" s="7"/>
      <c r="AS6" s="7"/>
      <c r="AT6" s="7"/>
      <c r="AU6" s="7"/>
      <c r="AV6" s="7"/>
      <c r="AW6" s="7"/>
      <c r="AX6" s="7"/>
      <c r="AY6" s="7"/>
      <c r="AZ6" s="7"/>
      <c r="BA6" s="7"/>
      <c r="BB6" s="7"/>
      <c r="BC6" s="7"/>
      <c r="BD6" s="7"/>
    </row>
    <row r="7" spans="1:56" x14ac:dyDescent="0.25">
      <c r="A7">
        <f>A6+1</f>
        <v>5</v>
      </c>
      <c r="B7" s="6">
        <v>3</v>
      </c>
      <c r="C7" s="41">
        <f t="shared" si="1"/>
        <v>3</v>
      </c>
      <c r="E7" s="1">
        <f t="shared" si="4"/>
        <v>0</v>
      </c>
      <c r="F7" s="7">
        <f t="shared" si="4"/>
        <v>1</v>
      </c>
      <c r="G7" s="7">
        <f t="shared" si="4"/>
        <v>1</v>
      </c>
      <c r="H7" s="7">
        <f t="shared" si="4"/>
        <v>1</v>
      </c>
      <c r="I7" s="7">
        <f t="shared" si="4"/>
        <v>0</v>
      </c>
      <c r="J7" s="7">
        <f t="shared" si="4"/>
        <v>0</v>
      </c>
      <c r="K7" s="7">
        <f t="shared" si="4"/>
        <v>0</v>
      </c>
      <c r="L7" s="7">
        <f t="shared" si="4"/>
        <v>0</v>
      </c>
      <c r="M7" s="7">
        <f t="shared" si="4"/>
        <v>0</v>
      </c>
      <c r="N7" s="7">
        <f t="shared" si="4"/>
        <v>0</v>
      </c>
      <c r="O7" s="7">
        <f t="shared" si="5"/>
        <v>0</v>
      </c>
      <c r="P7" s="7">
        <f t="shared" si="5"/>
        <v>0</v>
      </c>
      <c r="Q7" s="7">
        <f t="shared" si="5"/>
        <v>0</v>
      </c>
      <c r="R7" s="7">
        <f t="shared" si="5"/>
        <v>0</v>
      </c>
      <c r="S7" s="7">
        <f t="shared" si="5"/>
        <v>0</v>
      </c>
      <c r="T7" s="7">
        <f t="shared" si="5"/>
        <v>0</v>
      </c>
      <c r="U7" s="7">
        <f t="shared" si="5"/>
        <v>0</v>
      </c>
      <c r="V7" s="7">
        <f t="shared" si="5"/>
        <v>0</v>
      </c>
      <c r="W7" s="7">
        <f t="shared" si="6"/>
        <v>0</v>
      </c>
      <c r="X7" s="7">
        <f t="shared" si="6"/>
        <v>0</v>
      </c>
      <c r="Y7" s="10">
        <f t="shared" si="6"/>
        <v>0</v>
      </c>
      <c r="AA7" s="8"/>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row>
    <row r="8" spans="1:56" x14ac:dyDescent="0.25">
      <c r="A8">
        <f>A7+1</f>
        <v>6</v>
      </c>
      <c r="B8" s="17">
        <v>2</v>
      </c>
      <c r="C8" s="42">
        <f t="shared" si="1"/>
        <v>2</v>
      </c>
      <c r="E8" s="3">
        <f t="shared" ref="E8:V8" si="7">SUM(E18:F18)</f>
        <v>0</v>
      </c>
      <c r="F8" s="2">
        <f t="shared" si="7"/>
        <v>0</v>
      </c>
      <c r="G8" s="2">
        <f t="shared" si="7"/>
        <v>0</v>
      </c>
      <c r="H8" s="2">
        <f t="shared" si="7"/>
        <v>0</v>
      </c>
      <c r="I8" s="2">
        <f t="shared" si="7"/>
        <v>0</v>
      </c>
      <c r="J8" s="2">
        <f t="shared" si="7"/>
        <v>0</v>
      </c>
      <c r="K8" s="2">
        <f t="shared" si="7"/>
        <v>0</v>
      </c>
      <c r="L8" s="2">
        <f t="shared" si="7"/>
        <v>1</v>
      </c>
      <c r="M8" s="2">
        <f t="shared" si="7"/>
        <v>1</v>
      </c>
      <c r="N8" s="2">
        <f t="shared" si="7"/>
        <v>0</v>
      </c>
      <c r="O8" s="2">
        <f t="shared" si="7"/>
        <v>0</v>
      </c>
      <c r="P8" s="2">
        <f t="shared" si="7"/>
        <v>0</v>
      </c>
      <c r="Q8" s="2">
        <f t="shared" si="7"/>
        <v>0</v>
      </c>
      <c r="R8" s="2">
        <f t="shared" si="7"/>
        <v>0</v>
      </c>
      <c r="S8" s="2">
        <f t="shared" si="7"/>
        <v>0</v>
      </c>
      <c r="T8" s="2">
        <f t="shared" si="7"/>
        <v>0</v>
      </c>
      <c r="U8" s="2">
        <f t="shared" si="7"/>
        <v>0</v>
      </c>
      <c r="V8" s="2">
        <f t="shared" si="7"/>
        <v>0</v>
      </c>
      <c r="W8" s="2">
        <f>SUM(W18:X18)</f>
        <v>0</v>
      </c>
      <c r="X8" s="2">
        <f>SUM(X18:Y18)</f>
        <v>0</v>
      </c>
      <c r="Y8" s="5">
        <f>SUM(Y18:Z18)</f>
        <v>0</v>
      </c>
      <c r="AA8" s="8"/>
      <c r="AB8" s="7"/>
      <c r="AC8" s="7"/>
      <c r="AD8" s="7"/>
      <c r="AE8" s="7"/>
      <c r="AF8" s="7"/>
      <c r="AG8" s="7"/>
      <c r="AH8" s="7"/>
      <c r="AI8" s="7"/>
      <c r="AJ8" s="7"/>
      <c r="AK8" s="7"/>
      <c r="AL8" s="7"/>
      <c r="AM8" s="7"/>
      <c r="AN8" s="7"/>
      <c r="AO8" s="7"/>
      <c r="AP8" s="7"/>
      <c r="AQ8" s="7"/>
      <c r="AR8" s="7"/>
      <c r="AS8" s="7"/>
      <c r="AT8" s="7"/>
      <c r="AU8" s="7"/>
      <c r="AV8" s="7"/>
      <c r="AW8" s="7"/>
      <c r="AX8" s="7"/>
      <c r="AY8" s="7"/>
      <c r="AZ8" s="7"/>
      <c r="BA8" s="7"/>
      <c r="BB8" s="7"/>
      <c r="BC8" s="7"/>
      <c r="BD8" s="7"/>
    </row>
    <row r="9" spans="1:56" x14ac:dyDescent="0.25">
      <c r="E9" s="46">
        <f t="shared" ref="E9:Y9" si="8">SUM(E3:E8)</f>
        <v>0</v>
      </c>
      <c r="F9" s="47">
        <f t="shared" si="8"/>
        <v>1</v>
      </c>
      <c r="G9" s="47">
        <f t="shared" si="8"/>
        <v>1</v>
      </c>
      <c r="H9" s="47">
        <f t="shared" si="8"/>
        <v>1</v>
      </c>
      <c r="I9" s="47">
        <f t="shared" si="8"/>
        <v>1</v>
      </c>
      <c r="J9" s="47">
        <f t="shared" si="8"/>
        <v>1</v>
      </c>
      <c r="K9" s="47">
        <f t="shared" si="8"/>
        <v>1</v>
      </c>
      <c r="L9" s="47">
        <f t="shared" si="8"/>
        <v>1</v>
      </c>
      <c r="M9" s="47">
        <f t="shared" si="8"/>
        <v>1</v>
      </c>
      <c r="N9" s="47">
        <f t="shared" si="8"/>
        <v>1</v>
      </c>
      <c r="O9" s="47">
        <f t="shared" si="8"/>
        <v>1</v>
      </c>
      <c r="P9" s="47">
        <f t="shared" si="8"/>
        <v>0</v>
      </c>
      <c r="Q9" s="47">
        <f t="shared" si="8"/>
        <v>1</v>
      </c>
      <c r="R9" s="47">
        <f t="shared" si="8"/>
        <v>1</v>
      </c>
      <c r="S9" s="47">
        <f t="shared" si="8"/>
        <v>1</v>
      </c>
      <c r="T9" s="47">
        <f t="shared" si="8"/>
        <v>1</v>
      </c>
      <c r="U9" s="47">
        <f t="shared" si="8"/>
        <v>1</v>
      </c>
      <c r="V9" s="47">
        <f t="shared" si="8"/>
        <v>1</v>
      </c>
      <c r="W9" s="47">
        <f t="shared" si="8"/>
        <v>0</v>
      </c>
      <c r="X9" s="47">
        <f t="shared" si="8"/>
        <v>0</v>
      </c>
      <c r="Y9" s="48">
        <f t="shared" si="8"/>
        <v>0</v>
      </c>
      <c r="AA9" s="7"/>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7"/>
      <c r="BD9" s="7"/>
    </row>
    <row r="10" spans="1:56" x14ac:dyDescent="0.25">
      <c r="AA10" s="7"/>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7"/>
      <c r="BD10" s="7"/>
    </row>
    <row r="11" spans="1:56" ht="15" x14ac:dyDescent="0.4">
      <c r="B11" s="54" t="s">
        <v>7</v>
      </c>
      <c r="E11" s="4" t="s">
        <v>35</v>
      </c>
      <c r="AD11" s="54" t="s">
        <v>6</v>
      </c>
    </row>
    <row r="12" spans="1:56" ht="13.5" thickBot="1" x14ac:dyDescent="0.35">
      <c r="B12" s="4" t="s">
        <v>34</v>
      </c>
      <c r="D12" s="4" t="s">
        <v>33</v>
      </c>
      <c r="E12">
        <v>1</v>
      </c>
      <c r="F12">
        <f t="shared" ref="F12:Y12" si="9">E12+1</f>
        <v>2</v>
      </c>
      <c r="G12">
        <f t="shared" si="9"/>
        <v>3</v>
      </c>
      <c r="H12">
        <f t="shared" si="9"/>
        <v>4</v>
      </c>
      <c r="I12">
        <f t="shared" si="9"/>
        <v>5</v>
      </c>
      <c r="J12">
        <f t="shared" si="9"/>
        <v>6</v>
      </c>
      <c r="K12">
        <f t="shared" si="9"/>
        <v>7</v>
      </c>
      <c r="L12">
        <f t="shared" si="9"/>
        <v>8</v>
      </c>
      <c r="M12">
        <f t="shared" si="9"/>
        <v>9</v>
      </c>
      <c r="N12">
        <f t="shared" si="9"/>
        <v>10</v>
      </c>
      <c r="O12">
        <f t="shared" si="9"/>
        <v>11</v>
      </c>
      <c r="P12">
        <f t="shared" si="9"/>
        <v>12</v>
      </c>
      <c r="Q12">
        <f t="shared" si="9"/>
        <v>13</v>
      </c>
      <c r="R12">
        <f t="shared" si="9"/>
        <v>14</v>
      </c>
      <c r="S12">
        <f t="shared" si="9"/>
        <v>15</v>
      </c>
      <c r="T12">
        <f t="shared" si="9"/>
        <v>16</v>
      </c>
      <c r="U12">
        <f t="shared" si="9"/>
        <v>17</v>
      </c>
      <c r="V12">
        <f t="shared" si="9"/>
        <v>18</v>
      </c>
      <c r="W12">
        <f t="shared" si="9"/>
        <v>19</v>
      </c>
      <c r="X12">
        <f t="shared" si="9"/>
        <v>20</v>
      </c>
      <c r="Y12">
        <f t="shared" si="9"/>
        <v>21</v>
      </c>
      <c r="AD12" s="4" t="s">
        <v>36</v>
      </c>
      <c r="AE12" s="4" t="s">
        <v>37</v>
      </c>
      <c r="AF12" s="4" t="s">
        <v>41</v>
      </c>
    </row>
    <row r="13" spans="1:56" x14ac:dyDescent="0.25">
      <c r="A13">
        <v>1</v>
      </c>
      <c r="B13" s="20">
        <v>8</v>
      </c>
      <c r="E13" s="19">
        <v>0</v>
      </c>
      <c r="F13" s="19">
        <v>0</v>
      </c>
      <c r="G13" s="19">
        <v>0</v>
      </c>
      <c r="H13" s="19">
        <v>0</v>
      </c>
      <c r="I13" s="19">
        <v>0</v>
      </c>
      <c r="J13" s="19">
        <v>0</v>
      </c>
      <c r="K13" s="19">
        <v>1</v>
      </c>
      <c r="L13" s="19">
        <v>0</v>
      </c>
      <c r="M13" s="19">
        <v>0</v>
      </c>
      <c r="N13" s="19">
        <v>0</v>
      </c>
      <c r="O13" s="19">
        <v>0</v>
      </c>
      <c r="P13" s="19">
        <v>0</v>
      </c>
      <c r="Q13" s="19">
        <v>0</v>
      </c>
      <c r="R13" s="19">
        <v>0</v>
      </c>
      <c r="S13" s="19">
        <v>0</v>
      </c>
      <c r="T13" s="19">
        <v>0</v>
      </c>
      <c r="U13" s="19">
        <v>0</v>
      </c>
      <c r="V13" s="19">
        <v>0</v>
      </c>
      <c r="W13" s="19">
        <v>0</v>
      </c>
      <c r="X13" s="19">
        <v>0</v>
      </c>
      <c r="Y13" s="19">
        <v>0</v>
      </c>
      <c r="AC13" s="43">
        <f t="shared" ref="AC13:AC18" si="10">SUM(E13:Y13)</f>
        <v>1</v>
      </c>
      <c r="AD13" s="49">
        <f t="shared" ref="AD13:AD18" si="11">SUMPRODUCT(E$12:Y$12,E13:Y13)</f>
        <v>7</v>
      </c>
      <c r="AE13" s="49">
        <f t="shared" ref="AE13:AE18" si="12">AD13-B13</f>
        <v>-1</v>
      </c>
      <c r="AF13" s="52">
        <f t="shared" ref="AF13:AF18" si="13">AE13^2</f>
        <v>1</v>
      </c>
    </row>
    <row r="14" spans="1:56" x14ac:dyDescent="0.25">
      <c r="A14">
        <f>A13+1</f>
        <v>2</v>
      </c>
      <c r="B14" s="21">
        <v>9</v>
      </c>
      <c r="E14" s="19">
        <v>0</v>
      </c>
      <c r="F14" s="19">
        <v>0</v>
      </c>
      <c r="G14" s="19">
        <v>0</v>
      </c>
      <c r="H14" s="19">
        <v>0</v>
      </c>
      <c r="I14" s="19">
        <v>0</v>
      </c>
      <c r="J14" s="19">
        <v>0</v>
      </c>
      <c r="K14" s="19">
        <v>0</v>
      </c>
      <c r="L14" s="19">
        <v>0</v>
      </c>
      <c r="M14" s="19">
        <v>0</v>
      </c>
      <c r="N14" s="19">
        <v>0</v>
      </c>
      <c r="O14" s="19">
        <v>1</v>
      </c>
      <c r="P14" s="19">
        <v>0</v>
      </c>
      <c r="Q14" s="19">
        <v>0</v>
      </c>
      <c r="R14" s="19">
        <v>0</v>
      </c>
      <c r="S14" s="19">
        <v>0</v>
      </c>
      <c r="T14" s="19">
        <v>0</v>
      </c>
      <c r="U14" s="19">
        <v>0</v>
      </c>
      <c r="V14" s="19">
        <v>0</v>
      </c>
      <c r="W14" s="19">
        <v>0</v>
      </c>
      <c r="X14" s="19">
        <v>0</v>
      </c>
      <c r="Y14" s="19">
        <v>0</v>
      </c>
      <c r="AC14" s="44">
        <f t="shared" si="10"/>
        <v>1</v>
      </c>
      <c r="AD14" s="50">
        <f t="shared" si="11"/>
        <v>11</v>
      </c>
      <c r="AE14" s="50">
        <f t="shared" si="12"/>
        <v>2</v>
      </c>
      <c r="AF14" s="53">
        <f t="shared" si="13"/>
        <v>4</v>
      </c>
    </row>
    <row r="15" spans="1:56" x14ac:dyDescent="0.25">
      <c r="A15">
        <f>A14+1</f>
        <v>3</v>
      </c>
      <c r="B15" s="21">
        <v>17</v>
      </c>
      <c r="E15" s="19">
        <v>0</v>
      </c>
      <c r="F15" s="19">
        <v>0</v>
      </c>
      <c r="G15" s="19">
        <v>0</v>
      </c>
      <c r="H15" s="19">
        <v>0</v>
      </c>
      <c r="I15" s="19">
        <v>0</v>
      </c>
      <c r="J15" s="19">
        <v>0</v>
      </c>
      <c r="K15" s="19">
        <v>0</v>
      </c>
      <c r="L15" s="19">
        <v>0</v>
      </c>
      <c r="M15" s="19">
        <v>0</v>
      </c>
      <c r="N15" s="19">
        <v>0</v>
      </c>
      <c r="O15" s="19">
        <v>0</v>
      </c>
      <c r="P15" s="19">
        <v>0</v>
      </c>
      <c r="Q15" s="19">
        <v>0</v>
      </c>
      <c r="R15" s="19">
        <v>0</v>
      </c>
      <c r="S15" s="19">
        <v>0</v>
      </c>
      <c r="T15" s="19">
        <v>0</v>
      </c>
      <c r="U15" s="19">
        <v>0</v>
      </c>
      <c r="V15" s="19">
        <v>1</v>
      </c>
      <c r="W15" s="19">
        <v>0</v>
      </c>
      <c r="X15" s="19">
        <v>0</v>
      </c>
      <c r="Y15" s="19">
        <v>0</v>
      </c>
      <c r="AC15" s="44">
        <f t="shared" si="10"/>
        <v>1</v>
      </c>
      <c r="AD15" s="50">
        <f t="shared" si="11"/>
        <v>18</v>
      </c>
      <c r="AE15" s="50">
        <f t="shared" si="12"/>
        <v>1</v>
      </c>
      <c r="AF15" s="53">
        <f t="shared" si="13"/>
        <v>1</v>
      </c>
    </row>
    <row r="16" spans="1:56" x14ac:dyDescent="0.25">
      <c r="A16">
        <f>A15+1</f>
        <v>4</v>
      </c>
      <c r="B16" s="21">
        <v>15</v>
      </c>
      <c r="E16" s="19">
        <v>0</v>
      </c>
      <c r="F16" s="19">
        <v>0</v>
      </c>
      <c r="G16" s="19">
        <v>0</v>
      </c>
      <c r="H16" s="19">
        <v>0</v>
      </c>
      <c r="I16" s="19">
        <v>0</v>
      </c>
      <c r="J16" s="19">
        <v>0</v>
      </c>
      <c r="K16" s="19">
        <v>0</v>
      </c>
      <c r="L16" s="19">
        <v>0</v>
      </c>
      <c r="M16" s="19">
        <v>0</v>
      </c>
      <c r="N16" s="19">
        <v>0</v>
      </c>
      <c r="O16" s="19">
        <v>0</v>
      </c>
      <c r="P16" s="19">
        <v>0</v>
      </c>
      <c r="Q16" s="19">
        <v>0</v>
      </c>
      <c r="R16" s="19">
        <v>0</v>
      </c>
      <c r="S16" s="19">
        <v>1</v>
      </c>
      <c r="T16" s="19">
        <v>0</v>
      </c>
      <c r="U16" s="19">
        <v>0</v>
      </c>
      <c r="V16" s="19">
        <v>0</v>
      </c>
      <c r="W16" s="19">
        <v>0</v>
      </c>
      <c r="X16" s="19">
        <v>0</v>
      </c>
      <c r="Y16" s="19">
        <v>0</v>
      </c>
      <c r="AC16" s="44">
        <f t="shared" si="10"/>
        <v>1</v>
      </c>
      <c r="AD16" s="50">
        <f t="shared" si="11"/>
        <v>15</v>
      </c>
      <c r="AE16" s="50">
        <f t="shared" si="12"/>
        <v>0</v>
      </c>
      <c r="AF16" s="53">
        <f t="shared" si="13"/>
        <v>0</v>
      </c>
    </row>
    <row r="17" spans="1:32" x14ac:dyDescent="0.25">
      <c r="A17">
        <f>A16+1</f>
        <v>5</v>
      </c>
      <c r="B17" s="21">
        <v>6</v>
      </c>
      <c r="E17" s="19">
        <v>0</v>
      </c>
      <c r="F17" s="19">
        <v>0</v>
      </c>
      <c r="G17" s="19">
        <v>0</v>
      </c>
      <c r="H17" s="19">
        <v>1</v>
      </c>
      <c r="I17" s="19">
        <v>0</v>
      </c>
      <c r="J17" s="19">
        <v>0</v>
      </c>
      <c r="K17" s="19">
        <v>0</v>
      </c>
      <c r="L17" s="19">
        <v>0</v>
      </c>
      <c r="M17" s="19">
        <v>0</v>
      </c>
      <c r="N17" s="19">
        <v>0</v>
      </c>
      <c r="O17" s="19">
        <v>0</v>
      </c>
      <c r="P17" s="19">
        <v>0</v>
      </c>
      <c r="Q17" s="19">
        <v>0</v>
      </c>
      <c r="R17" s="19">
        <v>0</v>
      </c>
      <c r="S17" s="19">
        <v>0</v>
      </c>
      <c r="T17" s="19">
        <v>0</v>
      </c>
      <c r="U17" s="19">
        <v>0</v>
      </c>
      <c r="V17" s="19">
        <v>0</v>
      </c>
      <c r="W17" s="19">
        <v>0</v>
      </c>
      <c r="X17" s="19">
        <v>0</v>
      </c>
      <c r="Y17" s="19">
        <v>0</v>
      </c>
      <c r="AC17" s="44">
        <f t="shared" si="10"/>
        <v>1</v>
      </c>
      <c r="AD17" s="50">
        <f t="shared" si="11"/>
        <v>4</v>
      </c>
      <c r="AE17" s="50">
        <f t="shared" si="12"/>
        <v>-2</v>
      </c>
      <c r="AF17" s="53">
        <f t="shared" si="13"/>
        <v>4</v>
      </c>
    </row>
    <row r="18" spans="1:32" x14ac:dyDescent="0.25">
      <c r="A18">
        <f>A17+1</f>
        <v>6</v>
      </c>
      <c r="B18" s="22">
        <v>8</v>
      </c>
      <c r="E18" s="19">
        <v>0</v>
      </c>
      <c r="F18" s="19">
        <v>0</v>
      </c>
      <c r="G18" s="19">
        <v>0</v>
      </c>
      <c r="H18" s="19">
        <v>0</v>
      </c>
      <c r="I18" s="19">
        <v>0</v>
      </c>
      <c r="J18" s="19">
        <v>0</v>
      </c>
      <c r="K18" s="19">
        <v>0</v>
      </c>
      <c r="L18" s="19">
        <v>0</v>
      </c>
      <c r="M18" s="19">
        <v>1</v>
      </c>
      <c r="N18" s="19">
        <v>0</v>
      </c>
      <c r="O18" s="19">
        <v>0</v>
      </c>
      <c r="P18" s="19">
        <v>0</v>
      </c>
      <c r="Q18" s="19">
        <v>0</v>
      </c>
      <c r="R18" s="19">
        <v>0</v>
      </c>
      <c r="S18" s="19">
        <v>0</v>
      </c>
      <c r="T18" s="19">
        <v>0</v>
      </c>
      <c r="U18" s="19">
        <v>0</v>
      </c>
      <c r="V18" s="19">
        <v>0</v>
      </c>
      <c r="W18" s="19">
        <v>0</v>
      </c>
      <c r="X18" s="19">
        <v>0</v>
      </c>
      <c r="Y18" s="19">
        <v>0</v>
      </c>
      <c r="AC18" s="45">
        <f t="shared" si="10"/>
        <v>1</v>
      </c>
      <c r="AD18" s="51">
        <f t="shared" si="11"/>
        <v>9</v>
      </c>
      <c r="AE18" s="51">
        <f t="shared" si="12"/>
        <v>1</v>
      </c>
      <c r="AF18" s="53">
        <f t="shared" si="13"/>
        <v>1</v>
      </c>
    </row>
    <row r="19" spans="1:32" ht="13" thickBot="1" x14ac:dyDescent="0.3">
      <c r="AF19" s="23">
        <f>SUM(AF13:AF18)</f>
        <v>11</v>
      </c>
    </row>
    <row r="20" spans="1:32" s="7" customFormat="1" ht="13" x14ac:dyDescent="0.3">
      <c r="D20" s="9" t="s">
        <v>38</v>
      </c>
    </row>
    <row r="21" spans="1:32" s="7" customFormat="1" ht="13" x14ac:dyDescent="0.3">
      <c r="D21" s="9"/>
    </row>
    <row r="22" spans="1:32" s="7" customFormat="1" x14ac:dyDescent="0.25"/>
    <row r="23" spans="1:32" s="7" customFormat="1" x14ac:dyDescent="0.25"/>
    <row r="24" spans="1:32" s="7" customFormat="1" x14ac:dyDescent="0.25"/>
    <row r="25" spans="1:32" s="7" customFormat="1" x14ac:dyDescent="0.25"/>
    <row r="26" spans="1:32" s="7" customFormat="1" x14ac:dyDescent="0.25"/>
    <row r="27" spans="1:32" s="7" customFormat="1" x14ac:dyDescent="0.25"/>
    <row r="28" spans="1:32" s="7" customFormat="1" x14ac:dyDescent="0.25"/>
    <row r="29" spans="1:32" s="7" customFormat="1" x14ac:dyDescent="0.25"/>
    <row r="30" spans="1:32" s="7" customFormat="1" x14ac:dyDescent="0.25"/>
    <row r="31" spans="1:32" s="7" customFormat="1" x14ac:dyDescent="0.25"/>
    <row r="32" spans="1:32" s="7" customFormat="1" x14ac:dyDescent="0.25"/>
    <row r="33" s="7" customFormat="1" x14ac:dyDescent="0.25"/>
    <row r="34" s="7" customFormat="1" x14ac:dyDescent="0.25"/>
    <row r="35" s="7" customFormat="1" x14ac:dyDescent="0.25"/>
    <row r="36" s="7" customFormat="1" x14ac:dyDescent="0.25"/>
    <row r="37" s="7" customFormat="1" x14ac:dyDescent="0.25"/>
    <row r="38" s="7" customFormat="1" x14ac:dyDescent="0.25"/>
    <row r="39" s="7" customFormat="1" x14ac:dyDescent="0.25"/>
    <row r="40" s="7" customFormat="1" x14ac:dyDescent="0.25"/>
    <row r="41" s="7" customFormat="1" x14ac:dyDescent="0.25"/>
    <row r="42" s="7" customFormat="1" x14ac:dyDescent="0.25"/>
    <row r="43" s="7" customFormat="1" x14ac:dyDescent="0.25"/>
    <row r="44" s="7" customFormat="1" x14ac:dyDescent="0.25"/>
    <row r="45" s="7" customFormat="1" x14ac:dyDescent="0.25"/>
    <row r="46" s="7" customFormat="1" x14ac:dyDescent="0.25"/>
  </sheetData>
  <phoneticPr fontId="0" type="noConversion"/>
  <conditionalFormatting sqref="E3:Y8">
    <cfRule type="cellIs" dxfId="0" priority="1" stopIfTrue="1" operator="equal">
      <formula>1</formula>
    </cfRule>
  </conditionalFormatting>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Equation.3" shapeId="15370" r:id="rId4">
          <objectPr defaultSize="0" autoPict="0" r:id="rId5">
            <anchor moveWithCells="1">
              <from>
                <xdr:col>3</xdr:col>
                <xdr:colOff>107950</xdr:colOff>
                <xdr:row>25</xdr:row>
                <xdr:rowOff>152400</xdr:rowOff>
              </from>
              <to>
                <xdr:col>14</xdr:col>
                <xdr:colOff>184150</xdr:colOff>
                <xdr:row>49</xdr:row>
                <xdr:rowOff>152400</xdr:rowOff>
              </to>
            </anchor>
          </objectPr>
        </oleObject>
      </mc:Choice>
      <mc:Fallback>
        <oleObject progId="Equation.3" shapeId="15370"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Basic problem</vt:lpstr>
      <vt:lpstr>Job allocation</vt:lpstr>
      <vt:lpstr>Job allocation w. Fixed cost</vt:lpstr>
      <vt:lpstr>ProdCtrlExample</vt:lpstr>
      <vt:lpstr>'Basic problem'!Print_Area</vt:lpstr>
    </vt:vector>
  </TitlesOfParts>
  <Company>Helsinki University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Esko Niemi</dc:creator>
  <cp:lastModifiedBy>Niemi Esko</cp:lastModifiedBy>
  <cp:lastPrinted>2003-02-19T07:58:42Z</cp:lastPrinted>
  <dcterms:created xsi:type="dcterms:W3CDTF">2003-02-10T13:12:39Z</dcterms:created>
  <dcterms:modified xsi:type="dcterms:W3CDTF">2022-01-17T18:54:54Z</dcterms:modified>
</cp:coreProperties>
</file>