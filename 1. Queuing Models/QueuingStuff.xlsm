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home.org.aalto.fi\eniemi\data\Documents\Kurssit\MEC-E7001\"/>
    </mc:Choice>
  </mc:AlternateContent>
  <bookViews>
    <workbookView xWindow="240" yWindow="75" windowWidth="16500" windowHeight="7290" activeTab="2"/>
  </bookViews>
  <sheets>
    <sheet name="MM1 balance" sheetId="1" r:id="rId1"/>
    <sheet name="MM2 balance" sheetId="2" r:id="rId2"/>
    <sheet name="MMS macro" sheetId="3" r:id="rId3"/>
  </sheets>
  <functionGroups builtInGroupCount="18"/>
  <definedNames>
    <definedName name="anscount" hidden="1">1</definedName>
    <definedName name="limcount" hidden="1">1</definedName>
    <definedName name="sencount" hidden="1">1</definedName>
    <definedName name="solver_adj" localSheetId="0" hidden="1">'MM1 balance'!$C$5:$C$45</definedName>
    <definedName name="solver_adj" localSheetId="1" hidden="1">'MM2 balance'!$C$5:$C$45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'MM1 balance'!$C$48</definedName>
    <definedName name="solver_lhs1" localSheetId="1" hidden="1">'MM2 balance'!$C$48</definedName>
    <definedName name="solver_lhs2" localSheetId="0" hidden="1">'MM1 balance'!$D$5:$D$44</definedName>
    <definedName name="solver_lhs2" localSheetId="1" hidden="1">'MM2 balance'!$D$5:$D$44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2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'MM1 balance'!$C$48</definedName>
    <definedName name="solver_opt" localSheetId="1" hidden="1">'MM2 balance'!$C$48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2" localSheetId="0" hidden="1">2</definedName>
    <definedName name="solver_rel2" localSheetId="1" hidden="1">2</definedName>
    <definedName name="solver_rhs1" localSheetId="0" hidden="1">0</definedName>
    <definedName name="solver_rhs1" localSheetId="1" hidden="1">0</definedName>
    <definedName name="solver_rhs2" localSheetId="0" hidden="1">'MM1 balance'!$E$5:$E$44</definedName>
    <definedName name="solver_rhs2" localSheetId="1" hidden="1">'MM2 balance'!$E$5:$E$44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2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/>
</workbook>
</file>

<file path=xl/calcChain.xml><?xml version="1.0" encoding="utf-8"?>
<calcChain xmlns="http://schemas.openxmlformats.org/spreadsheetml/2006/main">
  <c r="H48" i="2" l="1"/>
  <c r="H47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B41" i="2"/>
  <c r="B42" i="2"/>
  <c r="B43" i="2"/>
  <c r="B44" i="2"/>
  <c r="B45" i="2" s="1"/>
  <c r="B40" i="1"/>
  <c r="B41" i="1" s="1"/>
  <c r="B42" i="1" s="1"/>
  <c r="B43" i="1" s="1"/>
  <c r="B44" i="1" s="1"/>
  <c r="B45" i="1" s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9" i="3" l="1"/>
  <c r="E8" i="3"/>
  <c r="V10" i="3" l="1"/>
  <c r="U10" i="3"/>
  <c r="T10" i="3"/>
  <c r="S10" i="3"/>
  <c r="R10" i="3"/>
  <c r="Q10" i="3"/>
  <c r="P10" i="3"/>
  <c r="O10" i="3"/>
  <c r="N10" i="3"/>
  <c r="M10" i="3"/>
  <c r="L10" i="3"/>
  <c r="K10" i="3"/>
  <c r="S5" i="3"/>
  <c r="R5" i="3" s="1"/>
  <c r="V2" i="3"/>
  <c r="U2" i="3"/>
  <c r="T2" i="3"/>
  <c r="S2" i="3"/>
  <c r="Q14" i="3"/>
  <c r="K14" i="3"/>
  <c r="U14" i="3"/>
  <c r="M14" i="3"/>
  <c r="V6" i="3"/>
  <c r="L14" i="3"/>
  <c r="V14" i="3"/>
  <c r="P14" i="3"/>
  <c r="S14" i="3"/>
  <c r="U6" i="3"/>
  <c r="R14" i="3"/>
  <c r="T6" i="3"/>
  <c r="O14" i="3"/>
  <c r="T14" i="3"/>
  <c r="S6" i="3"/>
  <c r="N14" i="3"/>
  <c r="C11" i="3"/>
  <c r="C12" i="3"/>
  <c r="K47" i="2"/>
  <c r="E12" i="3"/>
  <c r="C17" i="3" l="1"/>
  <c r="K48" i="2"/>
  <c r="K49" i="2"/>
  <c r="Q5" i="3"/>
  <c r="Q2" i="3" s="1"/>
  <c r="R2" i="3"/>
  <c r="C14" i="3"/>
  <c r="U7" i="3"/>
  <c r="U8" i="3" s="1"/>
  <c r="P15" i="3"/>
  <c r="P16" i="3" s="1"/>
  <c r="T7" i="3"/>
  <c r="T8" i="3" s="1"/>
  <c r="K15" i="3"/>
  <c r="K16" i="3" s="1"/>
  <c r="O15" i="3"/>
  <c r="O16" i="3" s="1"/>
  <c r="S15" i="3"/>
  <c r="S16" i="3" s="1"/>
  <c r="L15" i="3"/>
  <c r="L16" i="3" s="1"/>
  <c r="V7" i="3"/>
  <c r="V8" i="3" s="1"/>
  <c r="M15" i="3"/>
  <c r="M16" i="3" s="1"/>
  <c r="Q15" i="3"/>
  <c r="Q16" i="3" s="1"/>
  <c r="U15" i="3"/>
  <c r="U16" i="3" s="1"/>
  <c r="T15" i="3"/>
  <c r="T16" i="3" s="1"/>
  <c r="S7" i="3"/>
  <c r="S8" i="3" s="1"/>
  <c r="N15" i="3"/>
  <c r="N16" i="3" s="1"/>
  <c r="R15" i="3"/>
  <c r="R16" i="3" s="1"/>
  <c r="V15" i="3"/>
  <c r="V16" i="3" s="1"/>
  <c r="P5" i="3"/>
  <c r="E14" i="2"/>
  <c r="E13" i="2"/>
  <c r="E12" i="2"/>
  <c r="E11" i="2"/>
  <c r="E10" i="2"/>
  <c r="E9" i="2"/>
  <c r="E8" i="2"/>
  <c r="E7" i="2"/>
  <c r="E6" i="2"/>
  <c r="C46" i="2"/>
  <c r="D14" i="2"/>
  <c r="D13" i="2"/>
  <c r="D12" i="2"/>
  <c r="D11" i="2"/>
  <c r="D10" i="2"/>
  <c r="D9" i="2"/>
  <c r="D8" i="2"/>
  <c r="D7" i="2"/>
  <c r="B7" i="2"/>
  <c r="B8" i="2" s="1"/>
  <c r="H6" i="2"/>
  <c r="D6" i="2"/>
  <c r="H5" i="2"/>
  <c r="E5" i="2"/>
  <c r="D5" i="2"/>
  <c r="Q6" i="3"/>
  <c r="R6" i="3"/>
  <c r="C48" i="2" l="1"/>
  <c r="C16" i="3"/>
  <c r="C19" i="3"/>
  <c r="H7" i="2"/>
  <c r="Q7" i="3"/>
  <c r="Q8" i="3" s="1"/>
  <c r="R7" i="3"/>
  <c r="R8" i="3" s="1"/>
  <c r="R17" i="3" s="1"/>
  <c r="O5" i="3"/>
  <c r="P2" i="3"/>
  <c r="T17" i="3"/>
  <c r="V17" i="3"/>
  <c r="U17" i="3"/>
  <c r="S17" i="3"/>
  <c r="Q17" i="3"/>
  <c r="B9" i="2"/>
  <c r="H8" i="2"/>
  <c r="K47" i="1"/>
  <c r="C46" i="1"/>
  <c r="P6" i="3"/>
  <c r="K49" i="1" l="1"/>
  <c r="K48" i="1"/>
  <c r="P7" i="3"/>
  <c r="P8" i="3" s="1"/>
  <c r="P17" i="3" s="1"/>
  <c r="N5" i="3"/>
  <c r="O2" i="3"/>
  <c r="B10" i="2"/>
  <c r="H9" i="2"/>
  <c r="C48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B7" i="1"/>
  <c r="H7" i="1" s="1"/>
  <c r="K6" i="1"/>
  <c r="M6" i="1" s="1"/>
  <c r="H6" i="1"/>
  <c r="E6" i="1"/>
  <c r="D6" i="1"/>
  <c r="K5" i="1"/>
  <c r="H5" i="1"/>
  <c r="E5" i="1"/>
  <c r="D5" i="1"/>
  <c r="O6" i="3"/>
  <c r="O7" i="3" l="1"/>
  <c r="O8" i="3" s="1"/>
  <c r="O17" i="3" s="1"/>
  <c r="M5" i="3"/>
  <c r="N2" i="3"/>
  <c r="H10" i="2"/>
  <c r="B11" i="2"/>
  <c r="K7" i="1"/>
  <c r="M7" i="1" s="1"/>
  <c r="M5" i="1"/>
  <c r="B8" i="1"/>
  <c r="N6" i="3"/>
  <c r="N7" i="3" l="1"/>
  <c r="N8" i="3" s="1"/>
  <c r="N17" i="3" s="1"/>
  <c r="L5" i="3"/>
  <c r="M2" i="3"/>
  <c r="B12" i="2"/>
  <c r="H11" i="2"/>
  <c r="B9" i="1"/>
  <c r="K8" i="1"/>
  <c r="M8" i="1" s="1"/>
  <c r="H8" i="1"/>
  <c r="M6" i="3"/>
  <c r="M7" i="3" l="1"/>
  <c r="M8" i="3" s="1"/>
  <c r="M17" i="3" s="1"/>
  <c r="K5" i="3"/>
  <c r="K2" i="3" s="1"/>
  <c r="L2" i="3"/>
  <c r="B13" i="2"/>
  <c r="H12" i="2"/>
  <c r="B10" i="1"/>
  <c r="K9" i="1"/>
  <c r="M9" i="1" s="1"/>
  <c r="H9" i="1"/>
  <c r="K6" i="3"/>
  <c r="L6" i="3"/>
  <c r="L7" i="3" l="1"/>
  <c r="L8" i="3" s="1"/>
  <c r="L17" i="3" s="1"/>
  <c r="K7" i="3"/>
  <c r="K8" i="3" s="1"/>
  <c r="K17" i="3" s="1"/>
  <c r="B14" i="2"/>
  <c r="H13" i="2"/>
  <c r="K10" i="1"/>
  <c r="M10" i="1" s="1"/>
  <c r="H10" i="1"/>
  <c r="B11" i="1"/>
  <c r="B15" i="2" l="1"/>
  <c r="H14" i="2"/>
  <c r="H11" i="1"/>
  <c r="B12" i="1"/>
  <c r="K11" i="1"/>
  <c r="M11" i="1" s="1"/>
  <c r="B16" i="2" l="1"/>
  <c r="H15" i="2"/>
  <c r="B13" i="1"/>
  <c r="K12" i="1"/>
  <c r="M12" i="1" s="1"/>
  <c r="H12" i="1"/>
  <c r="B17" i="2" l="1"/>
  <c r="H16" i="2"/>
  <c r="B14" i="1"/>
  <c r="K13" i="1"/>
  <c r="M13" i="1" s="1"/>
  <c r="H13" i="1"/>
  <c r="B18" i="2" l="1"/>
  <c r="H17" i="2"/>
  <c r="K14" i="1"/>
  <c r="M14" i="1" s="1"/>
  <c r="H14" i="1"/>
  <c r="B15" i="1"/>
  <c r="B19" i="2" l="1"/>
  <c r="H18" i="2"/>
  <c r="H15" i="1"/>
  <c r="B16" i="1"/>
  <c r="K15" i="1"/>
  <c r="M15" i="1" s="1"/>
  <c r="B20" i="2" l="1"/>
  <c r="H19" i="2"/>
  <c r="B17" i="1"/>
  <c r="K16" i="1"/>
  <c r="M16" i="1" s="1"/>
  <c r="H16" i="1"/>
  <c r="H20" i="2" l="1"/>
  <c r="B21" i="2"/>
  <c r="B18" i="1"/>
  <c r="K17" i="1"/>
  <c r="M17" i="1" s="1"/>
  <c r="H17" i="1"/>
  <c r="B22" i="2" l="1"/>
  <c r="B23" i="2" s="1"/>
  <c r="H21" i="2"/>
  <c r="K18" i="1"/>
  <c r="M18" i="1" s="1"/>
  <c r="H18" i="1"/>
  <c r="B19" i="1"/>
  <c r="H23" i="2" l="1"/>
  <c r="B24" i="2"/>
  <c r="H22" i="2"/>
  <c r="H19" i="1"/>
  <c r="B20" i="1"/>
  <c r="K19" i="1"/>
  <c r="M19" i="1" s="1"/>
  <c r="H24" i="2" l="1"/>
  <c r="B25" i="2"/>
  <c r="B21" i="1"/>
  <c r="B22" i="1" s="1"/>
  <c r="K20" i="1"/>
  <c r="M20" i="1" s="1"/>
  <c r="H20" i="1"/>
  <c r="H25" i="2" l="1"/>
  <c r="B26" i="2"/>
  <c r="H22" i="1"/>
  <c r="K22" i="1"/>
  <c r="M22" i="1" s="1"/>
  <c r="B23" i="1"/>
  <c r="K21" i="1"/>
  <c r="M21" i="1" s="1"/>
  <c r="H21" i="1"/>
  <c r="H26" i="2" l="1"/>
  <c r="B27" i="2"/>
  <c r="H23" i="1"/>
  <c r="B24" i="1"/>
  <c r="K23" i="1"/>
  <c r="M23" i="1" s="1"/>
  <c r="K40" i="1"/>
  <c r="M40" i="1" s="1"/>
  <c r="H40" i="1"/>
  <c r="H27" i="2" l="1"/>
  <c r="B28" i="2"/>
  <c r="H24" i="1"/>
  <c r="K24" i="1"/>
  <c r="M24" i="1" s="1"/>
  <c r="B25" i="1"/>
  <c r="H41" i="1"/>
  <c r="K41" i="1"/>
  <c r="M41" i="1" s="1"/>
  <c r="H28" i="2" l="1"/>
  <c r="B29" i="2"/>
  <c r="H25" i="1"/>
  <c r="B26" i="1"/>
  <c r="K25" i="1"/>
  <c r="M25" i="1" s="1"/>
  <c r="K42" i="1"/>
  <c r="M42" i="1" s="1"/>
  <c r="H42" i="1"/>
  <c r="H29" i="2" l="1"/>
  <c r="B30" i="2"/>
  <c r="H26" i="1"/>
  <c r="K26" i="1"/>
  <c r="M26" i="1" s="1"/>
  <c r="B27" i="1"/>
  <c r="K43" i="1"/>
  <c r="M43" i="1" s="1"/>
  <c r="H43" i="1"/>
  <c r="H30" i="2" l="1"/>
  <c r="B31" i="2"/>
  <c r="K27" i="1"/>
  <c r="M27" i="1" s="1"/>
  <c r="H27" i="1"/>
  <c r="B28" i="1"/>
  <c r="H44" i="1"/>
  <c r="K44" i="1"/>
  <c r="M44" i="1" s="1"/>
  <c r="H31" i="2" l="1"/>
  <c r="B32" i="2"/>
  <c r="H28" i="1"/>
  <c r="K28" i="1"/>
  <c r="M28" i="1" s="1"/>
  <c r="B29" i="1"/>
  <c r="H45" i="1"/>
  <c r="K45" i="1"/>
  <c r="H32" i="2" l="1"/>
  <c r="B33" i="2"/>
  <c r="H29" i="1"/>
  <c r="B30" i="1"/>
  <c r="K29" i="1"/>
  <c r="M29" i="1" s="1"/>
  <c r="M45" i="1"/>
  <c r="H33" i="2" l="1"/>
  <c r="B34" i="2"/>
  <c r="H30" i="1"/>
  <c r="K30" i="1"/>
  <c r="B31" i="1"/>
  <c r="H34" i="2" l="1"/>
  <c r="B35" i="2"/>
  <c r="M30" i="1"/>
  <c r="M31" i="1"/>
  <c r="K31" i="1"/>
  <c r="H31" i="1"/>
  <c r="B32" i="1"/>
  <c r="H35" i="2" l="1"/>
  <c r="B36" i="2"/>
  <c r="H32" i="1"/>
  <c r="B33" i="1"/>
  <c r="M32" i="1"/>
  <c r="K32" i="1"/>
  <c r="H36" i="2" l="1"/>
  <c r="B37" i="2"/>
  <c r="B38" i="2" s="1"/>
  <c r="B39" i="2" s="1"/>
  <c r="B40" i="2" s="1"/>
  <c r="K33" i="1"/>
  <c r="M33" i="1" s="1"/>
  <c r="H33" i="1"/>
  <c r="B34" i="1"/>
  <c r="H41" i="2" l="1"/>
  <c r="H37" i="2"/>
  <c r="H34" i="1"/>
  <c r="B35" i="1"/>
  <c r="K34" i="1"/>
  <c r="M34" i="1" s="1"/>
  <c r="H42" i="2" l="1"/>
  <c r="H38" i="2"/>
  <c r="K35" i="1"/>
  <c r="M35" i="1" s="1"/>
  <c r="H35" i="1"/>
  <c r="B36" i="1"/>
  <c r="H43" i="2" l="1"/>
  <c r="H39" i="2"/>
  <c r="H36" i="1"/>
  <c r="B37" i="1"/>
  <c r="K36" i="1"/>
  <c r="M36" i="1" s="1"/>
  <c r="H45" i="2" l="1"/>
  <c r="H44" i="2"/>
  <c r="H40" i="2"/>
  <c r="K37" i="1"/>
  <c r="M37" i="1" s="1"/>
  <c r="H37" i="1"/>
  <c r="B38" i="1"/>
  <c r="H38" i="1" l="1"/>
  <c r="B39" i="1"/>
  <c r="K38" i="1"/>
  <c r="M38" i="1" s="1"/>
  <c r="H46" i="2" l="1"/>
  <c r="K39" i="1"/>
  <c r="K46" i="1" s="1"/>
  <c r="H39" i="1"/>
  <c r="H46" i="1" s="1"/>
  <c r="H48" i="1" s="1"/>
  <c r="M39" i="1" l="1"/>
  <c r="M46" i="1" s="1"/>
</calcChain>
</file>

<file path=xl/sharedStrings.xml><?xml version="1.0" encoding="utf-8"?>
<sst xmlns="http://schemas.openxmlformats.org/spreadsheetml/2006/main" count="106" uniqueCount="36">
  <si>
    <t>λ</t>
  </si>
  <si>
    <t>μ</t>
  </si>
  <si>
    <t>n</t>
  </si>
  <si>
    <r>
      <t>np</t>
    </r>
    <r>
      <rPr>
        <i/>
        <vertAlign val="subscript"/>
        <sz val="10"/>
        <rFont val="Arial"/>
        <family val="2"/>
      </rPr>
      <t>n</t>
    </r>
  </si>
  <si>
    <r>
      <rPr>
        <sz val="10"/>
        <rFont val="Arial"/>
        <family val="2"/>
      </rPr>
      <t>Sum.</t>
    </r>
    <r>
      <rPr>
        <i/>
        <sz val="10"/>
        <rFont val="Arial"/>
        <family val="2"/>
      </rPr>
      <t xml:space="preserve"> p</t>
    </r>
    <r>
      <rPr>
        <i/>
        <vertAlign val="subscript"/>
        <sz val="10"/>
        <rFont val="Arial"/>
        <family val="2"/>
      </rPr>
      <t>n</t>
    </r>
  </si>
  <si>
    <t>WIP:</t>
  </si>
  <si>
    <r>
      <rPr>
        <sz val="10"/>
        <rFont val="Arial"/>
        <family val="2"/>
      </rPr>
      <t>Sum.</t>
    </r>
    <r>
      <rPr>
        <i/>
        <sz val="10"/>
        <rFont val="Arial"/>
        <family val="2"/>
      </rPr>
      <t xml:space="preserve"> Pn</t>
    </r>
    <r>
      <rPr>
        <sz val="10"/>
        <rFont val="Arial"/>
        <family val="2"/>
      </rPr>
      <t>:</t>
    </r>
  </si>
  <si>
    <r>
      <rPr>
        <sz val="10"/>
        <rFont val="Arial"/>
        <family val="2"/>
      </rPr>
      <t>Anal.</t>
    </r>
    <r>
      <rPr>
        <i/>
        <sz val="10"/>
        <rFont val="Arial"/>
        <family val="2"/>
      </rPr>
      <t xml:space="preserve"> p</t>
    </r>
    <r>
      <rPr>
        <i/>
        <vertAlign val="subscript"/>
        <sz val="10"/>
        <rFont val="Arial"/>
        <family val="2"/>
      </rPr>
      <t>n</t>
    </r>
  </si>
  <si>
    <t>W:</t>
  </si>
  <si>
    <r>
      <t>p</t>
    </r>
    <r>
      <rPr>
        <i/>
        <vertAlign val="subscript"/>
        <sz val="10"/>
        <rFont val="Arial"/>
        <family val="2"/>
      </rPr>
      <t>n</t>
    </r>
  </si>
  <si>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n</t>
    </r>
    <r>
      <rPr>
        <i/>
        <sz val="11"/>
        <rFont val="Times New Roman"/>
        <family val="1"/>
      </rPr>
      <t>λ</t>
    </r>
  </si>
  <si>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n+1</t>
    </r>
    <r>
      <rPr>
        <i/>
        <sz val="11"/>
        <rFont val="Times New Roman"/>
        <family val="1"/>
      </rPr>
      <t>μ</t>
    </r>
  </si>
  <si>
    <r>
      <rPr>
        <sz val="10"/>
        <rFont val="Arial"/>
        <family val="2"/>
      </rPr>
      <t>Anal.</t>
    </r>
    <r>
      <rPr>
        <i/>
        <sz val="10"/>
        <rFont val="Arial"/>
        <family val="2"/>
      </rPr>
      <t xml:space="preserve"> np</t>
    </r>
    <r>
      <rPr>
        <i/>
        <vertAlign val="subscript"/>
        <sz val="10"/>
        <rFont val="Arial"/>
        <family val="2"/>
      </rPr>
      <t>n</t>
    </r>
  </si>
  <si>
    <r>
      <rPr>
        <sz val="10"/>
        <rFont val="Arial"/>
        <family val="2"/>
      </rPr>
      <t xml:space="preserve">Anal. </t>
    </r>
    <r>
      <rPr>
        <i/>
        <sz val="10"/>
        <rFont val="Arial"/>
        <family val="2"/>
      </rPr>
      <t>WIP:</t>
    </r>
  </si>
  <si>
    <r>
      <rPr>
        <i/>
        <sz val="10"/>
        <rFont val="Arial"/>
        <family val="2"/>
      </rPr>
      <t>p</t>
    </r>
    <r>
      <rPr>
        <i/>
        <vertAlign val="subscript"/>
        <sz val="10"/>
        <rFont val="Arial"/>
        <family val="2"/>
      </rPr>
      <t>n+1</t>
    </r>
    <r>
      <rPr>
        <i/>
        <sz val="10"/>
        <rFont val="Arial"/>
        <family val="2"/>
      </rPr>
      <t>2</t>
    </r>
    <r>
      <rPr>
        <i/>
        <sz val="11"/>
        <rFont val="Times New Roman"/>
        <family val="1"/>
      </rPr>
      <t>μ</t>
    </r>
  </si>
  <si>
    <t>k</t>
  </si>
  <si>
    <t>P0</t>
  </si>
  <si>
    <t>ρ</t>
  </si>
  <si>
    <t>Lq</t>
  </si>
  <si>
    <t>L</t>
  </si>
  <si>
    <t>W</t>
  </si>
  <si>
    <t>Example</t>
  </si>
  <si>
    <t>M/M/s</t>
  </si>
  <si>
    <t>Parameters:</t>
  </si>
  <si>
    <t>λ = arrival rate to the system (pcs. / time unit)</t>
  </si>
  <si>
    <t>μ = Processing rate for one server (pcs. / time unit)</t>
  </si>
  <si>
    <t>k = number of servers</t>
  </si>
  <si>
    <t>M/M/1 queuing process - numerical solution using balance equations</t>
  </si>
  <si>
    <t>M/M/2 queuing process - numerical solution using balance equations</t>
  </si>
  <si>
    <t>Comparison</t>
  </si>
  <si>
    <t>Wq</t>
  </si>
  <si>
    <t>Time / unit</t>
  </si>
  <si>
    <t>QTPMMS_Lq</t>
  </si>
  <si>
    <t># being processed:</t>
  </si>
  <si>
    <t>http://queueingtoolpak.org/index.shtml</t>
  </si>
  <si>
    <t>Functions can be downloaded from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</si>
</sst>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  <family val="2"/>
    </font>
    <font>
      <i/>
      <sz val="12"/>
      <name val="Times New Roman"/>
      <family val="1"/>
    </font>
    <font>
      <i/>
      <sz val="10"/>
      <name val="Arial"/>
      <family val="2"/>
    </font>
    <font>
      <i/>
      <vertAlign val="subscript"/>
      <sz val="10"/>
      <name val="Arial"/>
      <family val="2"/>
    </font>
    <font>
      <b/>
      <sz val="12"/>
      <name val="Arial"/>
      <family val="2"/>
    </font>
    <font>
      <i/>
      <sz val="11"/>
      <name val="Times New Roman"/>
      <family val="1"/>
    </font>
    <font>
      <i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Fill="1" applyBorder="1" applyAlignment="1">
      <alignment horizontal="center"/>
    </xf>
    <xf numFmtId="0" fontId="2" fillId="0" borderId="0" xfId="0" applyFont="1"/>
    <xf numFmtId="0" fontId="0" fillId="2" borderId="0" xfId="0" applyFill="1"/>
    <xf numFmtId="0" fontId="0" fillId="3" borderId="0" xfId="0" applyFill="1"/>
    <xf numFmtId="0" fontId="2" fillId="0" borderId="0" xfId="0" applyFont="1" applyAlignment="1">
      <alignment horizontal="right"/>
    </xf>
    <xf numFmtId="2" fontId="0" fillId="4" borderId="0" xfId="0" applyNumberFormat="1" applyFill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2" fillId="0" borderId="5" xfId="0" applyFont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0" borderId="0" xfId="0" applyFont="1" applyBorder="1"/>
    <xf numFmtId="0" fontId="2" fillId="0" borderId="6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2" fontId="0" fillId="0" borderId="0" xfId="0" applyNumberFormat="1"/>
    <xf numFmtId="0" fontId="0" fillId="5" borderId="8" xfId="0" applyFill="1" applyBorder="1"/>
    <xf numFmtId="0" fontId="8" fillId="0" borderId="0" xfId="0" applyFont="1"/>
    <xf numFmtId="0" fontId="7" fillId="0" borderId="0" xfId="0" applyFont="1" applyBorder="1"/>
    <xf numFmtId="0" fontId="8" fillId="0" borderId="1" xfId="0" applyFont="1" applyBorder="1"/>
    <xf numFmtId="0" fontId="9" fillId="6" borderId="9" xfId="0" applyFont="1" applyFill="1" applyBorder="1" applyAlignment="1">
      <alignment horizontal="center"/>
    </xf>
    <xf numFmtId="0" fontId="0" fillId="5" borderId="10" xfId="0" applyFill="1" applyBorder="1"/>
    <xf numFmtId="0" fontId="10" fillId="0" borderId="0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0" fillId="5" borderId="5" xfId="0" applyFill="1" applyBorder="1"/>
    <xf numFmtId="0" fontId="8" fillId="6" borderId="11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0" fillId="5" borderId="3" xfId="0" applyFill="1" applyBorder="1"/>
    <xf numFmtId="0" fontId="10" fillId="0" borderId="0" xfId="0" applyFont="1" applyBorder="1" applyAlignment="1">
      <alignment horizontal="center"/>
    </xf>
    <xf numFmtId="0" fontId="8" fillId="6" borderId="13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0" fillId="5" borderId="5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'MM1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'MM1 balance'!$C$5:$C$16</c:f>
              <c:numCache>
                <c:formatCode>General</c:formatCode>
                <c:ptCount val="12"/>
                <c:pt idx="0">
                  <c:v>0.20002126704491943</c:v>
                </c:pt>
                <c:pt idx="1">
                  <c:v>0.16001701116125888</c:v>
                </c:pt>
                <c:pt idx="2">
                  <c:v>0.12801360694926567</c:v>
                </c:pt>
                <c:pt idx="3">
                  <c:v>0.10241089166333464</c:v>
                </c:pt>
                <c:pt idx="4">
                  <c:v>8.1928712063633308E-2</c:v>
                </c:pt>
                <c:pt idx="5">
                  <c:v>6.5542968637279042E-2</c:v>
                </c:pt>
                <c:pt idx="6">
                  <c:v>5.2434374098921155E-2</c:v>
                </c:pt>
                <c:pt idx="7">
                  <c:v>4.1947502474272619E-2</c:v>
                </c:pt>
                <c:pt idx="8">
                  <c:v>3.3558001460440814E-2</c:v>
                </c:pt>
                <c:pt idx="9">
                  <c:v>2.6846402675099301E-2</c:v>
                </c:pt>
                <c:pt idx="10">
                  <c:v>2.1477121807933985E-2</c:v>
                </c:pt>
                <c:pt idx="11">
                  <c:v>1.7181697180630819E-2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B92-4879-93B2-A97C3A3D135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'MM1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'MM1 balance'!$H$5:$H$16</c:f>
              <c:numCache>
                <c:formatCode>General</c:formatCode>
                <c:ptCount val="12"/>
                <c:pt idx="0">
                  <c:v>0</c:v>
                </c:pt>
                <c:pt idx="1">
                  <c:v>0.16001701116125888</c:v>
                </c:pt>
                <c:pt idx="2">
                  <c:v>0.25602721389853134</c:v>
                </c:pt>
                <c:pt idx="3">
                  <c:v>0.30723267499000395</c:v>
                </c:pt>
                <c:pt idx="4">
                  <c:v>0.32771484825453323</c:v>
                </c:pt>
                <c:pt idx="5">
                  <c:v>0.32771484318639521</c:v>
                </c:pt>
                <c:pt idx="6">
                  <c:v>0.31460624459352693</c:v>
                </c:pt>
                <c:pt idx="7">
                  <c:v>0.29363251731990836</c:v>
                </c:pt>
                <c:pt idx="8">
                  <c:v>0.26846401168352652</c:v>
                </c:pt>
                <c:pt idx="9">
                  <c:v>0.24161762407589371</c:v>
                </c:pt>
                <c:pt idx="10">
                  <c:v>0.21477121807933985</c:v>
                </c:pt>
                <c:pt idx="11">
                  <c:v>0.18899866898693901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B92-4879-93B2-A97C3A3D1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27336"/>
        <c:axId val="533727728"/>
      </c:scatterChart>
      <c:valAx>
        <c:axId val="53372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27728"/>
        <c:crosses val="autoZero"/>
        <c:crossBetween val="midCat"/>
      </c:valAx>
      <c:valAx>
        <c:axId val="5337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2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'MM2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'MM2 balance'!$C$5:$C$16</c:f>
              <c:numCache>
                <c:formatCode>General</c:formatCode>
                <c:ptCount val="12"/>
                <c:pt idx="0">
                  <c:v>0.11112423924358518</c:v>
                </c:pt>
                <c:pt idx="1">
                  <c:v>0.1777987858486236</c:v>
                </c:pt>
                <c:pt idx="2">
                  <c:v>0.14223902867889893</c:v>
                </c:pt>
                <c:pt idx="3">
                  <c:v>0.11379122294311914</c:v>
                </c:pt>
                <c:pt idx="4">
                  <c:v>9.1032978354495295E-2</c:v>
                </c:pt>
                <c:pt idx="5">
                  <c:v>7.2826382498346415E-2</c:v>
                </c:pt>
                <c:pt idx="6">
                  <c:v>5.8261105998677162E-2</c:v>
                </c:pt>
                <c:pt idx="7">
                  <c:v>4.6608884798941715E-2</c:v>
                </c:pt>
                <c:pt idx="8">
                  <c:v>3.7287107839153392E-2</c:v>
                </c:pt>
                <c:pt idx="9">
                  <c:v>2.9829686271322705E-2</c:v>
                </c:pt>
                <c:pt idx="10">
                  <c:v>2.3863749017058154E-2</c:v>
                </c:pt>
                <c:pt idx="11">
                  <c:v>1.9090999213646521E-2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AE-4BAF-B267-930CADF4906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'MM2 balance'!$B$5:$B$16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'MM1 balance'!$C$5:$C$16</c:f>
              <c:numCache>
                <c:formatCode>General</c:formatCode>
                <c:ptCount val="12"/>
                <c:pt idx="0">
                  <c:v>0.20002126704491943</c:v>
                </c:pt>
                <c:pt idx="1">
                  <c:v>0.16001701116125888</c:v>
                </c:pt>
                <c:pt idx="2">
                  <c:v>0.12801360694926567</c:v>
                </c:pt>
                <c:pt idx="3">
                  <c:v>0.10241089166333464</c:v>
                </c:pt>
                <c:pt idx="4">
                  <c:v>8.1928712063633308E-2</c:v>
                </c:pt>
                <c:pt idx="5">
                  <c:v>6.5542968637279042E-2</c:v>
                </c:pt>
                <c:pt idx="6">
                  <c:v>5.2434374098921155E-2</c:v>
                </c:pt>
                <c:pt idx="7">
                  <c:v>4.1947502474272619E-2</c:v>
                </c:pt>
                <c:pt idx="8">
                  <c:v>3.3558001460440814E-2</c:v>
                </c:pt>
                <c:pt idx="9">
                  <c:v>2.6846402675099301E-2</c:v>
                </c:pt>
                <c:pt idx="10">
                  <c:v>2.1477121807933985E-2</c:v>
                </c:pt>
                <c:pt idx="11">
                  <c:v>1.7181697180630819E-2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7AE-4BAF-B267-930CADF49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28512"/>
        <c:axId val="533728904"/>
      </c:scatterChart>
      <c:valAx>
        <c:axId val="53372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28904"/>
        <c:crosses val="autoZero"/>
        <c:crossBetween val="midCat"/>
      </c:valAx>
      <c:valAx>
        <c:axId val="533728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28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09248554913301E-2"/>
          <c:y val="7.2351603761920028E-2"/>
          <c:w val="0.78034682080924855"/>
          <c:h val="0.79845162722976026"/>
        </c:manualLayout>
      </c:layout>
      <c:scatterChart>
        <c:scatterStyle val="smoothMarker"/>
        <c:varyColors val="0"/>
        <c:ser>
          <c:idx val="3"/>
          <c:order val="0"/>
          <c:tx>
            <c:v>L4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'MMS macro'!$K$13:$U$13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macro'!$K$15:$U$15</c:f>
              <c:numCache>
                <c:formatCode>General</c:formatCode>
                <c:ptCount val="11"/>
                <c:pt idx="0">
                  <c:v>5.5511151231257827E-16</c:v>
                </c:pt>
                <c:pt idx="1">
                  <c:v>0.40008827099194527</c:v>
                </c:pt>
                <c:pt idx="2">
                  <c:v>0.80239520958083832</c:v>
                </c:pt>
                <c:pt idx="3">
                  <c:v>1.2158784611614799</c:v>
                </c:pt>
                <c:pt idx="4">
                  <c:v>1.6604664895187482</c:v>
                </c:pt>
                <c:pt idx="5">
                  <c:v>2.1739130434782608</c:v>
                </c:pt>
                <c:pt idx="6">
                  <c:v>2.830564784053156</c:v>
                </c:pt>
                <c:pt idx="7">
                  <c:v>3.8001934092092537</c:v>
                </c:pt>
                <c:pt idx="8">
                  <c:v>5.5857298871496184</c:v>
                </c:pt>
                <c:pt idx="9">
                  <c:v>10.689779378658262</c:v>
                </c:pt>
                <c:pt idx="10">
                  <c:v>20.736960908375799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95-41C2-BC0E-3F4283ADF289}"/>
            </c:ext>
          </c:extLst>
        </c:ser>
        <c:ser>
          <c:idx val="2"/>
          <c:order val="1"/>
          <c:tx>
            <c:v>L2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'MMS macro'!$K$5:$U$5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0.10000000000000014</c:v>
                </c:pt>
                <c:pt idx="2">
                  <c:v>0.20000000000000015</c:v>
                </c:pt>
                <c:pt idx="3">
                  <c:v>0.30000000000000016</c:v>
                </c:pt>
                <c:pt idx="4">
                  <c:v>0.40000000000000013</c:v>
                </c:pt>
                <c:pt idx="5">
                  <c:v>0.50000000000000011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macro'!$K$7:$U$7</c:f>
              <c:numCache>
                <c:formatCode>General</c:formatCode>
                <c:ptCount val="11"/>
                <c:pt idx="0">
                  <c:v>2.7755575615628914E-16</c:v>
                </c:pt>
                <c:pt idx="1">
                  <c:v>0.20202020202020229</c:v>
                </c:pt>
                <c:pt idx="2">
                  <c:v>0.41666666666666696</c:v>
                </c:pt>
                <c:pt idx="3">
                  <c:v>0.65934065934065977</c:v>
                </c:pt>
                <c:pt idx="4">
                  <c:v>0.95238095238095299</c:v>
                </c:pt>
                <c:pt idx="5">
                  <c:v>1.3333333333333337</c:v>
                </c:pt>
                <c:pt idx="6">
                  <c:v>1.8750000000000007</c:v>
                </c:pt>
                <c:pt idx="7">
                  <c:v>2.7450980392156872</c:v>
                </c:pt>
                <c:pt idx="8">
                  <c:v>4.4444444444444446</c:v>
                </c:pt>
                <c:pt idx="9">
                  <c:v>9.4736842105263168</c:v>
                </c:pt>
                <c:pt idx="10">
                  <c:v>19.487179487179485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95-41C2-BC0E-3F4283ADF289}"/>
            </c:ext>
          </c:extLst>
        </c:ser>
        <c:ser>
          <c:idx val="0"/>
          <c:order val="2"/>
          <c:tx>
            <c:v>Lq2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'MMS macro'!$K$5:$U$5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0.10000000000000014</c:v>
                </c:pt>
                <c:pt idx="2">
                  <c:v>0.20000000000000015</c:v>
                </c:pt>
                <c:pt idx="3">
                  <c:v>0.30000000000000016</c:v>
                </c:pt>
                <c:pt idx="4">
                  <c:v>0.40000000000000013</c:v>
                </c:pt>
                <c:pt idx="5">
                  <c:v>0.50000000000000011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macro'!$K$6:$U$6</c:f>
              <c:numCache>
                <c:formatCode>General</c:formatCode>
                <c:ptCount val="11"/>
                <c:pt idx="0">
                  <c:v>5.3455294201843919E-48</c:v>
                </c:pt>
                <c:pt idx="1">
                  <c:v>2.0202020202020284E-3</c:v>
                </c:pt>
                <c:pt idx="2">
                  <c:v>1.6666666666666701E-2</c:v>
                </c:pt>
                <c:pt idx="3">
                  <c:v>5.9340659340659435E-2</c:v>
                </c:pt>
                <c:pt idx="4">
                  <c:v>0.15238095238095262</c:v>
                </c:pt>
                <c:pt idx="5">
                  <c:v>0.33333333333333354</c:v>
                </c:pt>
                <c:pt idx="6">
                  <c:v>0.67500000000000049</c:v>
                </c:pt>
                <c:pt idx="7">
                  <c:v>1.345098039215687</c:v>
                </c:pt>
                <c:pt idx="8">
                  <c:v>2.8444444444444446</c:v>
                </c:pt>
                <c:pt idx="9">
                  <c:v>7.6736842105263161</c:v>
                </c:pt>
                <c:pt idx="10">
                  <c:v>17.587179487179487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95-41C2-BC0E-3F4283ADF289}"/>
            </c:ext>
          </c:extLst>
        </c:ser>
        <c:ser>
          <c:idx val="1"/>
          <c:order val="3"/>
          <c:tx>
            <c:v>Lq4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'MMS macro'!$K$13:$U$13</c:f>
              <c:numCache>
                <c:formatCode>General</c:formatCode>
                <c:ptCount val="11"/>
                <c:pt idx="0">
                  <c:v>1.3877787807814457E-16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0.95</c:v>
                </c:pt>
              </c:numCache>
            </c:numRef>
          </c:xVal>
          <c:yVal>
            <c:numRef>
              <c:f>'MMS macro'!$K$14:$U$14</c:f>
              <c:numCache>
                <c:formatCode>General</c:formatCode>
                <c:ptCount val="11"/>
                <c:pt idx="0">
                  <c:v>5.4907280954325634E-79</c:v>
                </c:pt>
                <c:pt idx="1">
                  <c:v>8.8270991945272009E-5</c:v>
                </c:pt>
                <c:pt idx="2">
                  <c:v>2.3952095808383242E-3</c:v>
                </c:pt>
                <c:pt idx="3">
                  <c:v>1.5878461161480031E-2</c:v>
                </c:pt>
                <c:pt idx="4">
                  <c:v>6.0466489518748161E-2</c:v>
                </c:pt>
                <c:pt idx="5">
                  <c:v>0.17391304347826086</c:v>
                </c:pt>
                <c:pt idx="6">
                  <c:v>0.43056478405315612</c:v>
                </c:pt>
                <c:pt idx="7">
                  <c:v>1.0001934092092539</c:v>
                </c:pt>
                <c:pt idx="8">
                  <c:v>2.3857298871496178</c:v>
                </c:pt>
                <c:pt idx="9">
                  <c:v>7.0897793786582612</c:v>
                </c:pt>
                <c:pt idx="10">
                  <c:v>16.936960908375799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995-41C2-BC0E-3F4283ADF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729688"/>
        <c:axId val="533730080"/>
      </c:scatterChart>
      <c:valAx>
        <c:axId val="53372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30080"/>
        <c:crosses val="autoZero"/>
        <c:crossBetween val="midCat"/>
      </c:valAx>
      <c:valAx>
        <c:axId val="533730080"/>
        <c:scaling>
          <c:orientation val="minMax"/>
          <c:max val="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7296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323699421963"/>
          <c:y val="0.34625410371776011"/>
          <c:w val="0.10115606936416185"/>
          <c:h val="0.250646627318080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337457</xdr:colOff>
      <xdr:row>3</xdr:row>
      <xdr:rowOff>72798</xdr:rowOff>
    </xdr:from>
    <xdr:to>
      <xdr:col>21</xdr:col>
      <xdr:colOff>32657</xdr:colOff>
      <xdr:row>20</xdr:row>
      <xdr:rowOff>27895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317499</xdr:colOff>
      <xdr:row>6</xdr:row>
      <xdr:rowOff>189441</xdr:rowOff>
    </xdr:from>
    <xdr:to>
      <xdr:col>17</xdr:col>
      <xdr:colOff>592666</xdr:colOff>
      <xdr:row>20</xdr:row>
      <xdr:rowOff>117475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17</xdr:row>
      <xdr:rowOff>142876</xdr:rowOff>
    </xdr:from>
    <xdr:to>
      <xdr:col>16</xdr:col>
      <xdr:colOff>581025</xdr:colOff>
      <xdr:row>42</xdr:row>
      <xdr:rowOff>95251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9"/>
  <sheetViews>
    <sheetView zoomScale="96" zoomScaleNormal="96" workbookViewId="0">
      <selection activeCell="K46" sqref="K46"/>
    </sheetView>
  </sheetViews>
  <sheetFormatPr defaultRowHeight="12.75" x14ac:dyDescent="0.2"/>
  <cols>
    <col min="10" max="10" width="10.28515625" customWidth="1"/>
  </cols>
  <sheetData>
    <row r="1" spans="1:13" ht="15.75" x14ac:dyDescent="0.25">
      <c r="A1" s="9" t="s">
        <v>27</v>
      </c>
    </row>
    <row r="2" spans="1:13" ht="15.75" x14ac:dyDescent="0.25">
      <c r="D2" s="1" t="s">
        <v>0</v>
      </c>
      <c r="E2" s="1" t="s">
        <v>1</v>
      </c>
    </row>
    <row r="3" spans="1:13" x14ac:dyDescent="0.2">
      <c r="D3" s="3">
        <v>0.4</v>
      </c>
      <c r="E3" s="3">
        <v>0.5</v>
      </c>
      <c r="J3" s="11"/>
      <c r="K3" s="12" t="s">
        <v>29</v>
      </c>
      <c r="L3" s="12"/>
      <c r="M3" s="13"/>
    </row>
    <row r="4" spans="1:13" ht="15.75" x14ac:dyDescent="0.3">
      <c r="B4" s="2" t="s">
        <v>2</v>
      </c>
      <c r="C4" s="2" t="s">
        <v>9</v>
      </c>
      <c r="D4" s="10" t="s">
        <v>10</v>
      </c>
      <c r="E4" s="10" t="s">
        <v>11</v>
      </c>
      <c r="H4" s="2" t="s">
        <v>3</v>
      </c>
      <c r="I4" s="2"/>
      <c r="J4" s="16"/>
      <c r="K4" s="20" t="s">
        <v>7</v>
      </c>
      <c r="L4" s="14"/>
      <c r="M4" s="15" t="s">
        <v>12</v>
      </c>
    </row>
    <row r="5" spans="1:13" x14ac:dyDescent="0.2">
      <c r="B5">
        <v>0</v>
      </c>
      <c r="C5" s="4">
        <v>0.20002126704491943</v>
      </c>
      <c r="D5">
        <f t="shared" ref="D5:D44" si="0">$C5*D$3</f>
        <v>8.0008506817967784E-2</v>
      </c>
      <c r="E5">
        <f t="shared" ref="E5:E44" si="1">$C6*E$3</f>
        <v>8.0008505580629441E-2</v>
      </c>
      <c r="H5">
        <f>B5*C5</f>
        <v>0</v>
      </c>
      <c r="J5" s="16"/>
      <c r="K5" s="14">
        <f>(1-$D$3/$E$3)*($D$3/$E$3)^B5</f>
        <v>0.19999999999999996</v>
      </c>
      <c r="L5" s="14"/>
      <c r="M5" s="17">
        <f t="shared" ref="M5:M41" si="2">B5*K5</f>
        <v>0</v>
      </c>
    </row>
    <row r="6" spans="1:13" x14ac:dyDescent="0.2">
      <c r="B6">
        <v>1</v>
      </c>
      <c r="C6" s="4">
        <v>0.16001701116125888</v>
      </c>
      <c r="D6">
        <f t="shared" si="0"/>
        <v>6.4006804464503561E-2</v>
      </c>
      <c r="E6">
        <f t="shared" si="1"/>
        <v>6.4006803474632834E-2</v>
      </c>
      <c r="H6">
        <f t="shared" ref="H6:H42" si="3">B6*C6</f>
        <v>0.16001701116125888</v>
      </c>
      <c r="J6" s="16"/>
      <c r="K6" s="14">
        <f t="shared" ref="K6:K42" si="4">(1-$D$3/$E$3)*($D$3/$E$3)^B6</f>
        <v>0.15999999999999998</v>
      </c>
      <c r="L6" s="14"/>
      <c r="M6" s="17">
        <f>B6*K6</f>
        <v>0.15999999999999998</v>
      </c>
    </row>
    <row r="7" spans="1:13" x14ac:dyDescent="0.2">
      <c r="B7">
        <f>B6+1</f>
        <v>2</v>
      </c>
      <c r="C7" s="4">
        <v>0.12801360694926567</v>
      </c>
      <c r="D7">
        <f t="shared" si="0"/>
        <v>5.1205442779706269E-2</v>
      </c>
      <c r="E7">
        <f t="shared" si="1"/>
        <v>5.1205445831667321E-2</v>
      </c>
      <c r="H7">
        <f t="shared" si="3"/>
        <v>0.25602721389853134</v>
      </c>
      <c r="J7" s="16"/>
      <c r="K7" s="14">
        <f t="shared" si="4"/>
        <v>0.128</v>
      </c>
      <c r="L7" s="14"/>
      <c r="M7" s="17">
        <f t="shared" si="2"/>
        <v>0.25600000000000001</v>
      </c>
    </row>
    <row r="8" spans="1:13" x14ac:dyDescent="0.2">
      <c r="B8">
        <f t="shared" ref="B8:B45" si="5">B7+1</f>
        <v>3</v>
      </c>
      <c r="C8" s="4">
        <v>0.10241089166333464</v>
      </c>
      <c r="D8">
        <f t="shared" si="0"/>
        <v>4.0964356665333858E-2</v>
      </c>
      <c r="E8">
        <f t="shared" si="1"/>
        <v>4.0964356031816654E-2</v>
      </c>
      <c r="H8">
        <f t="shared" si="3"/>
        <v>0.30723267499000395</v>
      </c>
      <c r="J8" s="16"/>
      <c r="K8" s="14">
        <f t="shared" si="4"/>
        <v>0.1024</v>
      </c>
      <c r="L8" s="14"/>
      <c r="M8" s="17">
        <f t="shared" si="2"/>
        <v>0.30720000000000003</v>
      </c>
    </row>
    <row r="9" spans="1:13" x14ac:dyDescent="0.2">
      <c r="B9">
        <f t="shared" si="5"/>
        <v>4</v>
      </c>
      <c r="C9" s="4">
        <v>8.1928712063633308E-2</v>
      </c>
      <c r="D9">
        <f t="shared" si="0"/>
        <v>3.2771484825453327E-2</v>
      </c>
      <c r="E9">
        <f t="shared" si="1"/>
        <v>3.2771484318639521E-2</v>
      </c>
      <c r="H9">
        <f t="shared" si="3"/>
        <v>0.32771484825453323</v>
      </c>
      <c r="J9" s="16"/>
      <c r="K9" s="14">
        <f t="shared" si="4"/>
        <v>8.1920000000000021E-2</v>
      </c>
      <c r="L9" s="14"/>
      <c r="M9" s="17">
        <f t="shared" si="2"/>
        <v>0.32768000000000008</v>
      </c>
    </row>
    <row r="10" spans="1:13" x14ac:dyDescent="0.2">
      <c r="B10">
        <f t="shared" si="5"/>
        <v>5</v>
      </c>
      <c r="C10" s="4">
        <v>6.5542968637279042E-2</v>
      </c>
      <c r="D10">
        <f t="shared" si="0"/>
        <v>2.6217187454911618E-2</v>
      </c>
      <c r="E10">
        <f t="shared" si="1"/>
        <v>2.6217187049460577E-2</v>
      </c>
      <c r="H10">
        <f t="shared" si="3"/>
        <v>0.32771484318639521</v>
      </c>
      <c r="J10" s="16"/>
      <c r="K10" s="14">
        <f t="shared" si="4"/>
        <v>6.5536000000000025E-2</v>
      </c>
      <c r="L10" s="14"/>
      <c r="M10" s="17">
        <f t="shared" si="2"/>
        <v>0.32768000000000014</v>
      </c>
    </row>
    <row r="11" spans="1:13" x14ac:dyDescent="0.2">
      <c r="B11">
        <f t="shared" si="5"/>
        <v>6</v>
      </c>
      <c r="C11" s="4">
        <v>5.2434374098921155E-2</v>
      </c>
      <c r="D11">
        <f t="shared" si="0"/>
        <v>2.0973749639568464E-2</v>
      </c>
      <c r="E11">
        <f t="shared" si="1"/>
        <v>2.0973751237136309E-2</v>
      </c>
      <c r="H11">
        <f t="shared" si="3"/>
        <v>0.31460624459352693</v>
      </c>
      <c r="J11" s="16"/>
      <c r="K11" s="14">
        <f t="shared" si="4"/>
        <v>5.2428800000000018E-2</v>
      </c>
      <c r="L11" s="14"/>
      <c r="M11" s="17">
        <f t="shared" si="2"/>
        <v>0.3145728000000001</v>
      </c>
    </row>
    <row r="12" spans="1:13" x14ac:dyDescent="0.2">
      <c r="B12">
        <f t="shared" si="5"/>
        <v>7</v>
      </c>
      <c r="C12" s="4">
        <v>4.1947502474272619E-2</v>
      </c>
      <c r="D12">
        <f t="shared" si="0"/>
        <v>1.677900098970905E-2</v>
      </c>
      <c r="E12">
        <f t="shared" si="1"/>
        <v>1.6779000730220407E-2</v>
      </c>
      <c r="H12">
        <f t="shared" si="3"/>
        <v>0.29363251731990836</v>
      </c>
      <c r="J12" s="16"/>
      <c r="K12" s="14">
        <f t="shared" si="4"/>
        <v>4.1943040000000022E-2</v>
      </c>
      <c r="L12" s="14"/>
      <c r="M12" s="17">
        <f t="shared" si="2"/>
        <v>0.29360128000000013</v>
      </c>
    </row>
    <row r="13" spans="1:13" x14ac:dyDescent="0.2">
      <c r="B13">
        <f t="shared" si="5"/>
        <v>8</v>
      </c>
      <c r="C13" s="4">
        <v>3.3558001460440814E-2</v>
      </c>
      <c r="D13">
        <f t="shared" si="0"/>
        <v>1.3423200584176327E-2</v>
      </c>
      <c r="E13">
        <f t="shared" si="1"/>
        <v>1.3423201337549651E-2</v>
      </c>
      <c r="H13">
        <f t="shared" si="3"/>
        <v>0.26846401168352652</v>
      </c>
      <c r="J13" s="16"/>
      <c r="K13" s="14">
        <f t="shared" si="4"/>
        <v>3.3554432000000023E-2</v>
      </c>
      <c r="L13" s="14"/>
      <c r="M13" s="17">
        <f t="shared" si="2"/>
        <v>0.26843545600000018</v>
      </c>
    </row>
    <row r="14" spans="1:13" x14ac:dyDescent="0.2">
      <c r="B14">
        <f t="shared" si="5"/>
        <v>9</v>
      </c>
      <c r="C14" s="4">
        <v>2.6846402675099301E-2</v>
      </c>
      <c r="D14">
        <f t="shared" si="0"/>
        <v>1.0738561070039721E-2</v>
      </c>
      <c r="E14">
        <f t="shared" si="1"/>
        <v>1.0738560903966993E-2</v>
      </c>
      <c r="H14">
        <f t="shared" si="3"/>
        <v>0.24161762407589371</v>
      </c>
      <c r="J14" s="16"/>
      <c r="K14" s="14">
        <f t="shared" si="4"/>
        <v>2.6843545600000018E-2</v>
      </c>
      <c r="L14" s="14"/>
      <c r="M14" s="17">
        <f t="shared" si="2"/>
        <v>0.24159191040000016</v>
      </c>
    </row>
    <row r="15" spans="1:13" x14ac:dyDescent="0.2">
      <c r="B15">
        <f t="shared" si="5"/>
        <v>10</v>
      </c>
      <c r="C15" s="4">
        <v>2.1477121807933985E-2</v>
      </c>
      <c r="D15">
        <f t="shared" si="0"/>
        <v>8.5908487231735938E-3</v>
      </c>
      <c r="E15">
        <f t="shared" si="1"/>
        <v>8.5908485903154093E-3</v>
      </c>
      <c r="H15">
        <f t="shared" si="3"/>
        <v>0.21477121807933985</v>
      </c>
      <c r="J15" s="16"/>
      <c r="K15" s="14">
        <f t="shared" si="4"/>
        <v>2.147483648000002E-2</v>
      </c>
      <c r="L15" s="14"/>
      <c r="M15" s="17">
        <f t="shared" si="2"/>
        <v>0.2147483648000002</v>
      </c>
    </row>
    <row r="16" spans="1:13" x14ac:dyDescent="0.2">
      <c r="B16">
        <f t="shared" si="5"/>
        <v>11</v>
      </c>
      <c r="C16" s="4">
        <v>1.7181697180630819E-2</v>
      </c>
      <c r="D16">
        <f t="shared" si="0"/>
        <v>6.8726788722523278E-3</v>
      </c>
      <c r="E16">
        <f t="shared" si="1"/>
        <v>6.8726792464478834E-3</v>
      </c>
      <c r="H16">
        <f t="shared" si="3"/>
        <v>0.18899866898693901</v>
      </c>
      <c r="J16" s="16"/>
      <c r="K16" s="14">
        <f t="shared" si="4"/>
        <v>1.7179869184000014E-2</v>
      </c>
      <c r="L16" s="14"/>
      <c r="M16" s="17">
        <f t="shared" si="2"/>
        <v>0.18897856102400015</v>
      </c>
    </row>
    <row r="17" spans="2:13" x14ac:dyDescent="0.2">
      <c r="B17">
        <f t="shared" si="5"/>
        <v>12</v>
      </c>
      <c r="C17" s="4">
        <v>1.3745358492895767E-2</v>
      </c>
      <c r="D17">
        <f t="shared" si="0"/>
        <v>5.4981433971583067E-3</v>
      </c>
      <c r="E17">
        <f t="shared" si="1"/>
        <v>5.4981433121290722E-3</v>
      </c>
      <c r="H17">
        <f t="shared" si="3"/>
        <v>0.16494430191474921</v>
      </c>
      <c r="J17" s="16"/>
      <c r="K17" s="14">
        <f t="shared" si="4"/>
        <v>1.3743895347200016E-2</v>
      </c>
      <c r="L17" s="14"/>
      <c r="M17" s="17">
        <f t="shared" si="2"/>
        <v>0.16492674416640019</v>
      </c>
    </row>
    <row r="18" spans="2:13" x14ac:dyDescent="0.2">
      <c r="B18">
        <f t="shared" si="5"/>
        <v>13</v>
      </c>
      <c r="C18" s="4">
        <v>1.0996286624258144E-2</v>
      </c>
      <c r="D18">
        <f t="shared" si="0"/>
        <v>4.3985146497032583E-3</v>
      </c>
      <c r="E18">
        <f t="shared" si="1"/>
        <v>4.3985145816798649E-3</v>
      </c>
      <c r="H18">
        <f t="shared" si="3"/>
        <v>0.14295172611535586</v>
      </c>
      <c r="J18" s="16"/>
      <c r="K18" s="14">
        <f t="shared" si="4"/>
        <v>1.0995116277760014E-2</v>
      </c>
      <c r="L18" s="14"/>
      <c r="M18" s="17">
        <f t="shared" si="2"/>
        <v>0.14293651161088017</v>
      </c>
    </row>
    <row r="19" spans="2:13" x14ac:dyDescent="0.2">
      <c r="B19">
        <f t="shared" si="5"/>
        <v>14</v>
      </c>
      <c r="C19" s="4">
        <v>8.7970291633597299E-3</v>
      </c>
      <c r="D19">
        <f t="shared" si="0"/>
        <v>3.5188116653438921E-3</v>
      </c>
      <c r="E19">
        <f t="shared" si="1"/>
        <v>3.5188116109251817E-3</v>
      </c>
      <c r="H19">
        <f t="shared" si="3"/>
        <v>0.12315840828703623</v>
      </c>
      <c r="J19" s="16"/>
      <c r="K19" s="14">
        <f t="shared" si="4"/>
        <v>8.7960930222080111E-3</v>
      </c>
      <c r="L19" s="14"/>
      <c r="M19" s="17">
        <f t="shared" si="2"/>
        <v>0.12314530231091216</v>
      </c>
    </row>
    <row r="20" spans="2:13" x14ac:dyDescent="0.2">
      <c r="B20">
        <f t="shared" si="5"/>
        <v>15</v>
      </c>
      <c r="C20" s="4">
        <v>7.0376232218503634E-3</v>
      </c>
      <c r="D20">
        <f t="shared" si="0"/>
        <v>2.8150492887401455E-3</v>
      </c>
      <c r="E20">
        <f t="shared" si="1"/>
        <v>2.8150494854462041E-3</v>
      </c>
      <c r="H20">
        <f t="shared" si="3"/>
        <v>0.10556434832775545</v>
      </c>
      <c r="J20" s="16"/>
      <c r="K20" s="14">
        <f t="shared" si="4"/>
        <v>7.0368744177664103E-3</v>
      </c>
      <c r="L20" s="14"/>
      <c r="M20" s="17">
        <f t="shared" si="2"/>
        <v>0.10555311626649616</v>
      </c>
    </row>
    <row r="21" spans="2:13" x14ac:dyDescent="0.2">
      <c r="B21">
        <f t="shared" si="5"/>
        <v>16</v>
      </c>
      <c r="C21" s="4">
        <v>5.6300989708924082E-3</v>
      </c>
      <c r="D21">
        <f t="shared" si="0"/>
        <v>2.2520395883569634E-3</v>
      </c>
      <c r="E21">
        <f t="shared" si="1"/>
        <v>2.2520395883569638E-3</v>
      </c>
      <c r="H21">
        <f t="shared" si="3"/>
        <v>9.0081583534278531E-2</v>
      </c>
      <c r="J21" s="16"/>
      <c r="K21" s="14">
        <f t="shared" si="4"/>
        <v>5.6294995342131282E-3</v>
      </c>
      <c r="L21" s="14"/>
      <c r="M21" s="17">
        <f t="shared" si="2"/>
        <v>9.0071992547410051E-2</v>
      </c>
    </row>
    <row r="22" spans="2:13" x14ac:dyDescent="0.2">
      <c r="B22">
        <f t="shared" si="5"/>
        <v>17</v>
      </c>
      <c r="C22" s="4">
        <v>4.5040791767139276E-3</v>
      </c>
      <c r="D22">
        <f t="shared" si="0"/>
        <v>1.801631670685571E-3</v>
      </c>
      <c r="E22">
        <f t="shared" si="1"/>
        <v>1.8016316706855704E-3</v>
      </c>
      <c r="H22">
        <f t="shared" ref="H22:H39" si="6">B22*C22</f>
        <v>7.6569346004136771E-2</v>
      </c>
      <c r="J22" s="16"/>
      <c r="K22" s="14">
        <f t="shared" ref="K22:K39" si="7">(1-$D$3/$E$3)*($D$3/$E$3)^B22</f>
        <v>4.5035996273705033E-3</v>
      </c>
      <c r="L22" s="14"/>
      <c r="M22" s="17">
        <f t="shared" ref="M22:M39" si="8">B22*K22</f>
        <v>7.6561193665298552E-2</v>
      </c>
    </row>
    <row r="23" spans="2:13" x14ac:dyDescent="0.2">
      <c r="B23">
        <f t="shared" si="5"/>
        <v>18</v>
      </c>
      <c r="C23" s="4">
        <v>3.6032633413711408E-3</v>
      </c>
      <c r="D23">
        <f t="shared" si="0"/>
        <v>1.4413053365484564E-3</v>
      </c>
      <c r="E23">
        <f t="shared" si="1"/>
        <v>1.4413053365484561E-3</v>
      </c>
      <c r="H23">
        <f t="shared" si="6"/>
        <v>6.485874014468053E-2</v>
      </c>
      <c r="J23" s="16"/>
      <c r="K23" s="14">
        <f t="shared" si="7"/>
        <v>3.6028797018964023E-3</v>
      </c>
      <c r="L23" s="14"/>
      <c r="M23" s="17">
        <f t="shared" si="8"/>
        <v>6.4851834634135241E-2</v>
      </c>
    </row>
    <row r="24" spans="2:13" x14ac:dyDescent="0.2">
      <c r="B24">
        <f t="shared" si="5"/>
        <v>19</v>
      </c>
      <c r="C24" s="4">
        <v>2.8826106730969123E-3</v>
      </c>
      <c r="D24">
        <f t="shared" si="0"/>
        <v>1.153044269238765E-3</v>
      </c>
      <c r="E24">
        <f t="shared" si="1"/>
        <v>1.1530442692387658E-3</v>
      </c>
      <c r="H24">
        <f t="shared" si="6"/>
        <v>5.4769602788841333E-2</v>
      </c>
      <c r="J24" s="16"/>
      <c r="K24" s="14">
        <f t="shared" si="7"/>
        <v>2.8823037615171225E-3</v>
      </c>
      <c r="L24" s="14"/>
      <c r="M24" s="17">
        <f t="shared" si="8"/>
        <v>5.4763771468825329E-2</v>
      </c>
    </row>
    <row r="25" spans="2:13" x14ac:dyDescent="0.2">
      <c r="B25">
        <f t="shared" si="5"/>
        <v>20</v>
      </c>
      <c r="C25" s="4">
        <v>2.3060885384775316E-3</v>
      </c>
      <c r="D25">
        <f t="shared" si="0"/>
        <v>9.224354153910127E-4</v>
      </c>
      <c r="E25">
        <f t="shared" si="1"/>
        <v>9.2243541539101248E-4</v>
      </c>
      <c r="H25">
        <f t="shared" si="6"/>
        <v>4.6121770769550631E-2</v>
      </c>
      <c r="J25" s="16"/>
      <c r="K25" s="14">
        <f t="shared" si="7"/>
        <v>2.3058430092136985E-3</v>
      </c>
      <c r="L25" s="14"/>
      <c r="M25" s="17">
        <f t="shared" si="8"/>
        <v>4.6116860184273967E-2</v>
      </c>
    </row>
    <row r="26" spans="2:13" x14ac:dyDescent="0.2">
      <c r="B26">
        <f t="shared" si="5"/>
        <v>21</v>
      </c>
      <c r="C26" s="4">
        <v>1.844870830782025E-3</v>
      </c>
      <c r="D26">
        <f t="shared" si="0"/>
        <v>7.3794833231281007E-4</v>
      </c>
      <c r="E26">
        <f t="shared" si="1"/>
        <v>7.3794833231280996E-4</v>
      </c>
      <c r="H26">
        <f t="shared" si="6"/>
        <v>3.8742287446422524E-2</v>
      </c>
      <c r="J26" s="16"/>
      <c r="K26" s="14">
        <f t="shared" si="7"/>
        <v>1.8446744073709592E-3</v>
      </c>
      <c r="L26" s="14"/>
      <c r="M26" s="17">
        <f t="shared" si="8"/>
        <v>3.8738162554790144E-2</v>
      </c>
    </row>
    <row r="27" spans="2:13" x14ac:dyDescent="0.2">
      <c r="B27">
        <f t="shared" si="5"/>
        <v>22</v>
      </c>
      <c r="C27" s="4">
        <v>1.4758966646256199E-3</v>
      </c>
      <c r="D27">
        <f t="shared" si="0"/>
        <v>5.9035866585024801E-4</v>
      </c>
      <c r="E27">
        <f t="shared" si="1"/>
        <v>5.9035866585024747E-4</v>
      </c>
      <c r="H27">
        <f t="shared" si="6"/>
        <v>3.2469726621763638E-2</v>
      </c>
      <c r="J27" s="16"/>
      <c r="K27" s="14">
        <f t="shared" si="7"/>
        <v>1.4757395258967671E-3</v>
      </c>
      <c r="L27" s="14"/>
      <c r="M27" s="17">
        <f t="shared" si="8"/>
        <v>3.2466269569728874E-2</v>
      </c>
    </row>
    <row r="28" spans="2:13" x14ac:dyDescent="0.2">
      <c r="B28">
        <f t="shared" si="5"/>
        <v>23</v>
      </c>
      <c r="C28" s="4">
        <v>1.1807173317004949E-3</v>
      </c>
      <c r="D28">
        <f t="shared" si="0"/>
        <v>4.7228693268019798E-4</v>
      </c>
      <c r="E28">
        <f t="shared" si="1"/>
        <v>4.7228693268019836E-4</v>
      </c>
      <c r="H28">
        <f t="shared" si="6"/>
        <v>2.7156498629111382E-2</v>
      </c>
      <c r="J28" s="16"/>
      <c r="K28" s="14">
        <f t="shared" si="7"/>
        <v>1.180591620717414E-3</v>
      </c>
      <c r="L28" s="14"/>
      <c r="M28" s="17">
        <f t="shared" si="8"/>
        <v>2.7153607276500524E-2</v>
      </c>
    </row>
    <row r="29" spans="2:13" x14ac:dyDescent="0.2">
      <c r="B29">
        <f t="shared" si="5"/>
        <v>24</v>
      </c>
      <c r="C29" s="4">
        <v>9.4457386536039671E-4</v>
      </c>
      <c r="D29">
        <f t="shared" si="0"/>
        <v>3.778295461441587E-4</v>
      </c>
      <c r="E29">
        <f t="shared" si="1"/>
        <v>3.778295461441588E-4</v>
      </c>
      <c r="H29">
        <f t="shared" si="6"/>
        <v>2.266977276864952E-2</v>
      </c>
      <c r="J29" s="16"/>
      <c r="K29" s="14">
        <f t="shared" si="7"/>
        <v>9.4447329657393114E-4</v>
      </c>
      <c r="L29" s="14"/>
      <c r="M29" s="17">
        <f t="shared" si="8"/>
        <v>2.2667359117774347E-2</v>
      </c>
    </row>
    <row r="30" spans="2:13" x14ac:dyDescent="0.2">
      <c r="B30">
        <f t="shared" si="5"/>
        <v>25</v>
      </c>
      <c r="C30" s="4">
        <v>7.5565909228831761E-4</v>
      </c>
      <c r="D30">
        <f t="shared" si="0"/>
        <v>3.0226363691532705E-4</v>
      </c>
      <c r="E30">
        <f t="shared" si="1"/>
        <v>3.0226363691532727E-4</v>
      </c>
      <c r="H30">
        <f t="shared" si="6"/>
        <v>1.889147730720794E-2</v>
      </c>
      <c r="J30" s="16"/>
      <c r="K30" s="14">
        <f t="shared" si="7"/>
        <v>7.55578637259145E-4</v>
      </c>
      <c r="L30" s="14"/>
      <c r="M30" s="17">
        <f t="shared" si="8"/>
        <v>1.8889465931478625E-2</v>
      </c>
    </row>
    <row r="31" spans="2:13" x14ac:dyDescent="0.2">
      <c r="B31">
        <f t="shared" si="5"/>
        <v>26</v>
      </c>
      <c r="C31" s="4">
        <v>6.0452727383065454E-4</v>
      </c>
      <c r="D31">
        <f t="shared" si="0"/>
        <v>2.4181090953226183E-4</v>
      </c>
      <c r="E31">
        <f t="shared" si="1"/>
        <v>2.4181090953226159E-4</v>
      </c>
      <c r="H31">
        <f t="shared" si="6"/>
        <v>1.571770911959702E-2</v>
      </c>
      <c r="J31" s="16"/>
      <c r="K31" s="14">
        <f t="shared" si="7"/>
        <v>6.0446290980731613E-4</v>
      </c>
      <c r="L31" s="14"/>
      <c r="M31" s="17">
        <f t="shared" si="8"/>
        <v>1.5716035654990218E-2</v>
      </c>
    </row>
    <row r="32" spans="2:13" x14ac:dyDescent="0.2">
      <c r="B32">
        <f t="shared" si="5"/>
        <v>27</v>
      </c>
      <c r="C32" s="4">
        <v>4.8362181906452318E-4</v>
      </c>
      <c r="D32">
        <f t="shared" si="0"/>
        <v>1.9344872762580928E-4</v>
      </c>
      <c r="E32">
        <f t="shared" si="1"/>
        <v>1.9344872762580939E-4</v>
      </c>
      <c r="H32">
        <f t="shared" si="6"/>
        <v>1.3057789114742126E-2</v>
      </c>
      <c r="J32" s="16"/>
      <c r="K32" s="14">
        <f t="shared" si="7"/>
        <v>4.835703278458529E-4</v>
      </c>
      <c r="L32" s="14"/>
      <c r="M32" s="17">
        <f t="shared" si="8"/>
        <v>1.3056398851838028E-2</v>
      </c>
    </row>
    <row r="33" spans="2:13" x14ac:dyDescent="0.2">
      <c r="B33">
        <f t="shared" si="5"/>
        <v>28</v>
      </c>
      <c r="C33" s="4">
        <v>3.8689745525161877E-4</v>
      </c>
      <c r="D33">
        <f t="shared" si="0"/>
        <v>1.5475898210064751E-4</v>
      </c>
      <c r="E33">
        <f t="shared" si="1"/>
        <v>1.5475898210064748E-4</v>
      </c>
      <c r="H33">
        <f t="shared" si="6"/>
        <v>1.0833128747045326E-2</v>
      </c>
      <c r="J33" s="16"/>
      <c r="K33" s="14">
        <f t="shared" si="7"/>
        <v>3.8685626227668245E-4</v>
      </c>
      <c r="L33" s="14"/>
      <c r="M33" s="17">
        <f t="shared" si="8"/>
        <v>1.0831975343747108E-2</v>
      </c>
    </row>
    <row r="34" spans="2:13" x14ac:dyDescent="0.2">
      <c r="B34">
        <f t="shared" si="5"/>
        <v>29</v>
      </c>
      <c r="C34" s="4">
        <v>3.0951796420129496E-4</v>
      </c>
      <c r="D34">
        <f t="shared" si="0"/>
        <v>1.23807185680518E-4</v>
      </c>
      <c r="E34">
        <f t="shared" si="1"/>
        <v>1.2380718568051803E-4</v>
      </c>
      <c r="H34">
        <f t="shared" si="6"/>
        <v>8.9760209618375535E-3</v>
      </c>
      <c r="J34" s="16"/>
      <c r="K34" s="14">
        <f t="shared" si="7"/>
        <v>3.0948500982134596E-4</v>
      </c>
      <c r="L34" s="14"/>
      <c r="M34" s="17">
        <f t="shared" si="8"/>
        <v>8.9750652848190338E-3</v>
      </c>
    </row>
    <row r="35" spans="2:13" x14ac:dyDescent="0.2">
      <c r="B35">
        <f t="shared" si="5"/>
        <v>30</v>
      </c>
      <c r="C35" s="4">
        <v>2.4761437136103606E-4</v>
      </c>
      <c r="D35">
        <f t="shared" si="0"/>
        <v>9.9045748544414425E-5</v>
      </c>
      <c r="E35">
        <f t="shared" si="1"/>
        <v>9.9045748544414398E-5</v>
      </c>
      <c r="H35">
        <f t="shared" si="6"/>
        <v>7.4284311408310821E-3</v>
      </c>
      <c r="J35" s="16"/>
      <c r="K35" s="14">
        <f t="shared" si="7"/>
        <v>2.4758800785707678E-4</v>
      </c>
      <c r="L35" s="14"/>
      <c r="M35" s="17">
        <f t="shared" si="8"/>
        <v>7.4276402357123031E-3</v>
      </c>
    </row>
    <row r="36" spans="2:13" x14ac:dyDescent="0.2">
      <c r="B36">
        <f t="shared" si="5"/>
        <v>31</v>
      </c>
      <c r="C36" s="4">
        <v>1.980914970888288E-4</v>
      </c>
      <c r="D36">
        <f t="shared" si="0"/>
        <v>7.9236598835531521E-5</v>
      </c>
      <c r="E36">
        <f t="shared" si="1"/>
        <v>7.9236598835531576E-5</v>
      </c>
      <c r="H36">
        <f t="shared" si="6"/>
        <v>6.140836409753693E-3</v>
      </c>
      <c r="J36" s="16"/>
      <c r="K36" s="14">
        <f t="shared" si="7"/>
        <v>1.9807040628566148E-4</v>
      </c>
      <c r="L36" s="14"/>
      <c r="M36" s="17">
        <f t="shared" si="8"/>
        <v>6.1401825948555061E-3</v>
      </c>
    </row>
    <row r="37" spans="2:13" x14ac:dyDescent="0.2">
      <c r="B37">
        <f t="shared" si="5"/>
        <v>32</v>
      </c>
      <c r="C37" s="4">
        <v>1.5847319767106315E-4</v>
      </c>
      <c r="D37">
        <f t="shared" si="0"/>
        <v>6.3389279068425269E-5</v>
      </c>
      <c r="E37">
        <f t="shared" si="1"/>
        <v>6.3389279068425241E-5</v>
      </c>
      <c r="H37">
        <f t="shared" si="6"/>
        <v>5.0711423254740208E-3</v>
      </c>
      <c r="J37" s="16"/>
      <c r="K37" s="14">
        <f t="shared" si="7"/>
        <v>1.584563250285292E-4</v>
      </c>
      <c r="L37" s="14"/>
      <c r="M37" s="17">
        <f t="shared" si="8"/>
        <v>5.0706024009129344E-3</v>
      </c>
    </row>
    <row r="38" spans="2:13" x14ac:dyDescent="0.2">
      <c r="B38">
        <f t="shared" si="5"/>
        <v>33</v>
      </c>
      <c r="C38" s="4">
        <v>1.2677855813685048E-4</v>
      </c>
      <c r="D38">
        <f t="shared" si="0"/>
        <v>5.0711423254740199E-5</v>
      </c>
      <c r="E38">
        <f t="shared" si="1"/>
        <v>5.0711423254740185E-5</v>
      </c>
      <c r="H38">
        <f t="shared" si="6"/>
        <v>4.1836924185160657E-3</v>
      </c>
      <c r="J38" s="16"/>
      <c r="K38" s="14">
        <f t="shared" si="7"/>
        <v>1.2676506002282336E-4</v>
      </c>
      <c r="L38" s="14"/>
      <c r="M38" s="17">
        <f t="shared" si="8"/>
        <v>4.1832469807531712E-3</v>
      </c>
    </row>
    <row r="39" spans="2:13" x14ac:dyDescent="0.2">
      <c r="B39">
        <f t="shared" si="5"/>
        <v>34</v>
      </c>
      <c r="C39" s="4">
        <v>1.0142284650948037E-4</v>
      </c>
      <c r="D39">
        <f t="shared" si="0"/>
        <v>4.0569138603792151E-5</v>
      </c>
      <c r="E39">
        <f t="shared" si="1"/>
        <v>4.0569137976387589E-5</v>
      </c>
      <c r="H39">
        <f t="shared" si="6"/>
        <v>3.4483767813223327E-3</v>
      </c>
      <c r="J39" s="16"/>
      <c r="K39" s="14">
        <f t="shared" si="7"/>
        <v>1.0141204801825872E-4</v>
      </c>
      <c r="L39" s="14"/>
      <c r="M39" s="17">
        <f t="shared" si="8"/>
        <v>3.4480096326207966E-3</v>
      </c>
    </row>
    <row r="40" spans="2:13" x14ac:dyDescent="0.2">
      <c r="B40">
        <f t="shared" si="5"/>
        <v>35</v>
      </c>
      <c r="C40" s="4">
        <v>8.1138275952775179E-5</v>
      </c>
      <c r="D40">
        <f t="shared" si="0"/>
        <v>3.2455310381110076E-5</v>
      </c>
      <c r="E40">
        <f t="shared" si="1"/>
        <v>3.2455309879186452E-5</v>
      </c>
      <c r="H40">
        <f t="shared" si="3"/>
        <v>2.8398396583471314E-3</v>
      </c>
      <c r="J40" s="16"/>
      <c r="K40" s="14">
        <f t="shared" si="4"/>
        <v>8.1129638414606962E-5</v>
      </c>
      <c r="L40" s="14"/>
      <c r="M40" s="17">
        <f t="shared" si="2"/>
        <v>2.8395373445112438E-3</v>
      </c>
    </row>
    <row r="41" spans="2:13" x14ac:dyDescent="0.2">
      <c r="B41">
        <f t="shared" si="5"/>
        <v>36</v>
      </c>
      <c r="C41" s="4">
        <v>6.4910619758372904E-5</v>
      </c>
      <c r="D41">
        <f t="shared" si="0"/>
        <v>2.5964247903349162E-5</v>
      </c>
      <c r="E41">
        <f t="shared" si="1"/>
        <v>2.5964247501810249E-5</v>
      </c>
      <c r="H41">
        <f t="shared" si="3"/>
        <v>2.3367823113014247E-3</v>
      </c>
      <c r="J41" s="16"/>
      <c r="K41" s="14">
        <f t="shared" si="4"/>
        <v>6.4903710731685594E-5</v>
      </c>
      <c r="L41" s="14"/>
      <c r="M41" s="17">
        <f t="shared" si="2"/>
        <v>2.3365335863406813E-3</v>
      </c>
    </row>
    <row r="42" spans="2:13" x14ac:dyDescent="0.2">
      <c r="B42">
        <f t="shared" si="5"/>
        <v>37</v>
      </c>
      <c r="C42" s="4">
        <v>5.1928495003620499E-5</v>
      </c>
      <c r="D42">
        <f t="shared" si="0"/>
        <v>2.07713980014482E-5</v>
      </c>
      <c r="E42">
        <f t="shared" si="1"/>
        <v>2.0771397680217067E-5</v>
      </c>
      <c r="H42">
        <f t="shared" si="3"/>
        <v>1.9213543151339585E-3</v>
      </c>
      <c r="J42" s="16"/>
      <c r="K42" s="14">
        <f t="shared" si="4"/>
        <v>5.1922968585348471E-5</v>
      </c>
      <c r="L42" s="14"/>
      <c r="M42" s="17">
        <f>B42*K42</f>
        <v>1.9211498376578934E-3</v>
      </c>
    </row>
    <row r="43" spans="2:13" x14ac:dyDescent="0.2">
      <c r="B43">
        <f t="shared" si="5"/>
        <v>38</v>
      </c>
      <c r="C43" s="4">
        <v>4.1542795360434133E-5</v>
      </c>
      <c r="D43">
        <f t="shared" si="0"/>
        <v>1.6617118144173654E-5</v>
      </c>
      <c r="E43">
        <f t="shared" si="1"/>
        <v>1.661711788718875E-5</v>
      </c>
      <c r="H43">
        <f t="shared" ref="H43:H45" si="9">B43*C43</f>
        <v>1.5786262236964972E-3</v>
      </c>
      <c r="J43" s="16"/>
      <c r="K43" s="14">
        <f>(1-$D$3/$E$3)*($D$3/$E$3)^B43</f>
        <v>4.1538374868278781E-5</v>
      </c>
      <c r="L43" s="14"/>
      <c r="M43" s="17">
        <f t="shared" ref="M43:M45" si="10">B43*K43</f>
        <v>1.5784582449945937E-3</v>
      </c>
    </row>
    <row r="44" spans="2:13" x14ac:dyDescent="0.2">
      <c r="B44">
        <f t="shared" si="5"/>
        <v>39</v>
      </c>
      <c r="C44" s="4">
        <v>3.32342357743775E-5</v>
      </c>
      <c r="D44">
        <f t="shared" si="0"/>
        <v>1.3293694309751E-5</v>
      </c>
      <c r="E44">
        <f t="shared" si="1"/>
        <v>1.3293695186111593E-5</v>
      </c>
      <c r="H44">
        <f t="shared" si="9"/>
        <v>1.2961351952007225E-3</v>
      </c>
      <c r="J44" s="16"/>
      <c r="K44" s="14">
        <f>(1-$D$3/$E$3)*($D$3/$E$3)^B44</f>
        <v>3.323069989462303E-5</v>
      </c>
      <c r="L44" s="14"/>
      <c r="M44" s="17">
        <f t="shared" si="10"/>
        <v>1.2959972958902981E-3</v>
      </c>
    </row>
    <row r="45" spans="2:13" x14ac:dyDescent="0.2">
      <c r="B45">
        <f t="shared" si="5"/>
        <v>40</v>
      </c>
      <c r="C45" s="4">
        <v>2.6587390372223186E-5</v>
      </c>
      <c r="H45">
        <f t="shared" si="9"/>
        <v>1.0634956148889273E-3</v>
      </c>
      <c r="J45" s="16"/>
      <c r="K45" s="14">
        <f>(1-$D$3/$E$3)*($D$3/$E$3)^B45</f>
        <v>2.6584559915698429E-5</v>
      </c>
      <c r="L45" s="14"/>
      <c r="M45" s="17">
        <f t="shared" si="10"/>
        <v>1.0633823966279372E-3</v>
      </c>
    </row>
    <row r="46" spans="2:13" ht="15.75" x14ac:dyDescent="0.3">
      <c r="B46" s="2" t="s">
        <v>4</v>
      </c>
      <c r="C46" s="23">
        <f>SUM(C5:C45)</f>
        <v>0.99999999999999933</v>
      </c>
      <c r="G46" s="5" t="s">
        <v>5</v>
      </c>
      <c r="H46">
        <f>SUM(H5:H45)</f>
        <v>3.9956398272270848</v>
      </c>
      <c r="J46" s="22" t="s">
        <v>6</v>
      </c>
      <c r="K46" s="14">
        <f>SUM(K5:K45)</f>
        <v>0.99989366176033712</v>
      </c>
      <c r="L46" s="14"/>
      <c r="M46" s="17">
        <f>SUM(M5:M45)</f>
        <v>3.9952147792151758</v>
      </c>
    </row>
    <row r="47" spans="2:13" x14ac:dyDescent="0.2">
      <c r="C47">
        <v>1</v>
      </c>
      <c r="G47" s="8"/>
      <c r="J47" s="22" t="s">
        <v>13</v>
      </c>
      <c r="K47" s="14">
        <f>$D$3/($E$3-$D$3)</f>
        <v>4.0000000000000009</v>
      </c>
      <c r="L47" s="14"/>
      <c r="M47" s="17"/>
    </row>
    <row r="48" spans="2:13" x14ac:dyDescent="0.2">
      <c r="C48" s="6">
        <f>C46-C47</f>
        <v>0</v>
      </c>
      <c r="G48" s="7" t="s">
        <v>18</v>
      </c>
      <c r="H48">
        <f>H46-D3/E3</f>
        <v>3.195639827227085</v>
      </c>
      <c r="J48" s="21" t="s">
        <v>8</v>
      </c>
      <c r="K48" s="18">
        <f>$K$47/$D$3</f>
        <v>10.000000000000002</v>
      </c>
      <c r="L48" s="18"/>
      <c r="M48" s="19"/>
    </row>
    <row r="49" spans="10:11" x14ac:dyDescent="0.2">
      <c r="J49" s="7" t="s">
        <v>18</v>
      </c>
      <c r="K49">
        <f>K47-D3/E3</f>
        <v>3.2000000000000011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9"/>
  <sheetViews>
    <sheetView topLeftCell="A26" zoomScale="90" zoomScaleNormal="90" workbookViewId="0">
      <selection activeCell="H49" sqref="H49"/>
    </sheetView>
  </sheetViews>
  <sheetFormatPr defaultRowHeight="12.75" x14ac:dyDescent="0.2"/>
  <cols>
    <col min="10" max="10" width="10.28515625" customWidth="1"/>
    <col min="11" max="11" width="9.140625" customWidth="1"/>
  </cols>
  <sheetData>
    <row r="1" spans="1:13" ht="15.75" x14ac:dyDescent="0.25">
      <c r="A1" s="9" t="s">
        <v>28</v>
      </c>
    </row>
    <row r="2" spans="1:13" ht="15.75" x14ac:dyDescent="0.25">
      <c r="D2" s="1" t="s">
        <v>0</v>
      </c>
      <c r="E2" s="1" t="s">
        <v>1</v>
      </c>
      <c r="F2" t="s">
        <v>15</v>
      </c>
    </row>
    <row r="3" spans="1:13" x14ac:dyDescent="0.2">
      <c r="D3" s="3">
        <v>0.4</v>
      </c>
      <c r="E3" s="3">
        <v>0.25</v>
      </c>
      <c r="F3" s="3">
        <v>2</v>
      </c>
      <c r="J3" s="11"/>
      <c r="K3" s="12"/>
      <c r="L3" s="12"/>
      <c r="M3" s="13"/>
    </row>
    <row r="4" spans="1:13" ht="15.75" x14ac:dyDescent="0.3">
      <c r="B4" s="2" t="s">
        <v>2</v>
      </c>
      <c r="C4" s="2" t="s">
        <v>9</v>
      </c>
      <c r="D4" s="10" t="s">
        <v>10</v>
      </c>
      <c r="E4" s="10"/>
      <c r="H4" s="2" t="s">
        <v>3</v>
      </c>
      <c r="I4" s="2"/>
      <c r="J4" s="16"/>
      <c r="K4" s="20"/>
      <c r="L4" s="14"/>
      <c r="M4" s="15"/>
    </row>
    <row r="5" spans="1:13" ht="15.75" x14ac:dyDescent="0.3">
      <c r="B5">
        <v>0</v>
      </c>
      <c r="C5" s="4">
        <v>0.11112423924358518</v>
      </c>
      <c r="D5">
        <f t="shared" ref="D5:D44" si="0">$C5*D$3</f>
        <v>4.4449695697434073E-2</v>
      </c>
      <c r="E5">
        <f t="shared" ref="E5" si="1">$C6*E$3</f>
        <v>4.4449696462155901E-2</v>
      </c>
      <c r="F5" s="10" t="s">
        <v>11</v>
      </c>
      <c r="H5">
        <f>B5*C5</f>
        <v>0</v>
      </c>
      <c r="J5" s="16"/>
      <c r="K5" s="14"/>
      <c r="L5" s="14"/>
      <c r="M5" s="17"/>
    </row>
    <row r="6" spans="1:13" ht="15.75" x14ac:dyDescent="0.3">
      <c r="B6">
        <v>1</v>
      </c>
      <c r="C6" s="4">
        <v>0.1777987858486236</v>
      </c>
      <c r="D6">
        <f t="shared" si="0"/>
        <v>7.1119514339449449E-2</v>
      </c>
      <c r="E6">
        <f>$C7*2*E$3</f>
        <v>7.1119514339449463E-2</v>
      </c>
      <c r="F6" s="10" t="s">
        <v>14</v>
      </c>
      <c r="H6">
        <f t="shared" ref="H6:H45" si="2">B6*C6</f>
        <v>0.1777987858486236</v>
      </c>
      <c r="J6" s="16"/>
      <c r="K6" s="14"/>
      <c r="L6" s="14"/>
      <c r="M6" s="17"/>
    </row>
    <row r="7" spans="1:13" ht="15.75" x14ac:dyDescent="0.3">
      <c r="B7">
        <f>B6+1</f>
        <v>2</v>
      </c>
      <c r="C7" s="4">
        <v>0.14223902867889893</v>
      </c>
      <c r="D7">
        <f t="shared" si="0"/>
        <v>5.6895611471559575E-2</v>
      </c>
      <c r="E7">
        <f t="shared" ref="E7:E44" si="3">$C8*2*E$3</f>
        <v>5.6895611471559568E-2</v>
      </c>
      <c r="F7" s="10" t="s">
        <v>14</v>
      </c>
      <c r="H7">
        <f t="shared" si="2"/>
        <v>0.28447805735779785</v>
      </c>
      <c r="J7" s="16"/>
      <c r="K7" s="14"/>
      <c r="L7" s="14"/>
      <c r="M7" s="17"/>
    </row>
    <row r="8" spans="1:13" ht="15.75" x14ac:dyDescent="0.3">
      <c r="B8">
        <f t="shared" ref="B8:B45" si="4">B7+1</f>
        <v>3</v>
      </c>
      <c r="C8" s="4">
        <v>0.11379122294311914</v>
      </c>
      <c r="D8">
        <f t="shared" si="0"/>
        <v>4.5516489177247654E-2</v>
      </c>
      <c r="E8">
        <f t="shared" si="3"/>
        <v>4.5516489177247647E-2</v>
      </c>
      <c r="F8" s="10" t="s">
        <v>14</v>
      </c>
      <c r="H8">
        <f t="shared" si="2"/>
        <v>0.34137366882935738</v>
      </c>
      <c r="J8" s="16"/>
      <c r="K8" s="14"/>
      <c r="L8" s="14"/>
      <c r="M8" s="17"/>
    </row>
    <row r="9" spans="1:13" ht="15.75" x14ac:dyDescent="0.3">
      <c r="B9">
        <f t="shared" si="4"/>
        <v>4</v>
      </c>
      <c r="C9" s="4">
        <v>9.1032978354495295E-2</v>
      </c>
      <c r="D9">
        <f t="shared" si="0"/>
        <v>3.6413191341798122E-2</v>
      </c>
      <c r="E9">
        <f t="shared" si="3"/>
        <v>3.6413191249173207E-2</v>
      </c>
      <c r="F9" s="10" t="s">
        <v>14</v>
      </c>
      <c r="H9">
        <f t="shared" si="2"/>
        <v>0.36413191341798118</v>
      </c>
      <c r="J9" s="16"/>
      <c r="K9" s="14"/>
      <c r="L9" s="14"/>
      <c r="M9" s="17"/>
    </row>
    <row r="10" spans="1:13" ht="15.75" x14ac:dyDescent="0.3">
      <c r="B10">
        <f t="shared" si="4"/>
        <v>5</v>
      </c>
      <c r="C10" s="4">
        <v>7.2826382498346415E-2</v>
      </c>
      <c r="D10">
        <f t="shared" si="0"/>
        <v>2.9130552999338567E-2</v>
      </c>
      <c r="E10">
        <f t="shared" si="3"/>
        <v>2.9130552999338581E-2</v>
      </c>
      <c r="F10" s="10" t="s">
        <v>14</v>
      </c>
      <c r="H10">
        <f t="shared" si="2"/>
        <v>0.36413191249173205</v>
      </c>
      <c r="J10" s="16"/>
      <c r="K10" s="14"/>
      <c r="L10" s="14"/>
      <c r="M10" s="17"/>
    </row>
    <row r="11" spans="1:13" ht="15.75" x14ac:dyDescent="0.3">
      <c r="B11">
        <f t="shared" si="4"/>
        <v>6</v>
      </c>
      <c r="C11" s="4">
        <v>5.8261105998677162E-2</v>
      </c>
      <c r="D11">
        <f t="shared" si="0"/>
        <v>2.3304442399470868E-2</v>
      </c>
      <c r="E11">
        <f t="shared" si="3"/>
        <v>2.3304442399470857E-2</v>
      </c>
      <c r="F11" s="10" t="s">
        <v>14</v>
      </c>
      <c r="H11">
        <f t="shared" si="2"/>
        <v>0.34956663599206295</v>
      </c>
      <c r="J11" s="16"/>
      <c r="K11" s="14"/>
      <c r="L11" s="14"/>
      <c r="M11" s="17"/>
    </row>
    <row r="12" spans="1:13" ht="15.75" x14ac:dyDescent="0.3">
      <c r="B12">
        <f t="shared" si="4"/>
        <v>7</v>
      </c>
      <c r="C12" s="4">
        <v>4.6608884798941715E-2</v>
      </c>
      <c r="D12">
        <f t="shared" si="0"/>
        <v>1.8643553919576686E-2</v>
      </c>
      <c r="E12">
        <f t="shared" si="3"/>
        <v>1.8643553919576696E-2</v>
      </c>
      <c r="F12" s="10" t="s">
        <v>14</v>
      </c>
      <c r="H12">
        <f t="shared" si="2"/>
        <v>0.32626219359259201</v>
      </c>
      <c r="J12" s="16"/>
      <c r="K12" s="14"/>
      <c r="L12" s="14"/>
      <c r="M12" s="17"/>
    </row>
    <row r="13" spans="1:13" ht="15.75" x14ac:dyDescent="0.3">
      <c r="B13">
        <f t="shared" si="4"/>
        <v>8</v>
      </c>
      <c r="C13" s="4">
        <v>3.7287107839153392E-2</v>
      </c>
      <c r="D13">
        <f t="shared" si="0"/>
        <v>1.4914843135661358E-2</v>
      </c>
      <c r="E13">
        <f t="shared" si="3"/>
        <v>1.4914843135661352E-2</v>
      </c>
      <c r="F13" s="10" t="s">
        <v>14</v>
      </c>
      <c r="H13">
        <f t="shared" si="2"/>
        <v>0.29829686271322714</v>
      </c>
      <c r="J13" s="16"/>
      <c r="K13" s="14"/>
      <c r="L13" s="14"/>
      <c r="M13" s="17"/>
    </row>
    <row r="14" spans="1:13" ht="15.75" x14ac:dyDescent="0.3">
      <c r="B14">
        <f t="shared" si="4"/>
        <v>9</v>
      </c>
      <c r="C14" s="4">
        <v>2.9829686271322705E-2</v>
      </c>
      <c r="D14">
        <f t="shared" si="0"/>
        <v>1.1931874508529082E-2</v>
      </c>
      <c r="E14">
        <f t="shared" si="3"/>
        <v>1.1931874508529077E-2</v>
      </c>
      <c r="F14" s="10" t="s">
        <v>14</v>
      </c>
      <c r="H14">
        <f t="shared" si="2"/>
        <v>0.26846717644190432</v>
      </c>
      <c r="J14" s="16"/>
      <c r="K14" s="14"/>
      <c r="L14" s="14"/>
      <c r="M14" s="17"/>
    </row>
    <row r="15" spans="1:13" ht="15.75" x14ac:dyDescent="0.3">
      <c r="B15">
        <f t="shared" si="4"/>
        <v>10</v>
      </c>
      <c r="C15" s="4">
        <v>2.3863749017058154E-2</v>
      </c>
      <c r="D15">
        <f t="shared" si="0"/>
        <v>9.5454996068232625E-3</v>
      </c>
      <c r="E15">
        <f t="shared" si="3"/>
        <v>9.5454996068232607E-3</v>
      </c>
      <c r="F15" s="10" t="s">
        <v>14</v>
      </c>
      <c r="H15">
        <f t="shared" si="2"/>
        <v>0.23863749017058153</v>
      </c>
      <c r="J15" s="16"/>
      <c r="K15" s="14"/>
      <c r="L15" s="14"/>
      <c r="M15" s="17"/>
    </row>
    <row r="16" spans="1:13" ht="15.75" x14ac:dyDescent="0.3">
      <c r="B16">
        <f t="shared" si="4"/>
        <v>11</v>
      </c>
      <c r="C16" s="4">
        <v>1.9090999213646521E-2</v>
      </c>
      <c r="D16">
        <f t="shared" si="0"/>
        <v>7.6363996854586086E-3</v>
      </c>
      <c r="E16">
        <f t="shared" si="3"/>
        <v>7.6363996854586138E-3</v>
      </c>
      <c r="F16" s="10" t="s">
        <v>14</v>
      </c>
      <c r="H16">
        <f t="shared" si="2"/>
        <v>0.21000099135011174</v>
      </c>
      <c r="J16" s="16"/>
      <c r="K16" s="14"/>
      <c r="L16" s="14"/>
      <c r="M16" s="17"/>
    </row>
    <row r="17" spans="2:13" ht="15.75" x14ac:dyDescent="0.3">
      <c r="B17">
        <f t="shared" si="4"/>
        <v>12</v>
      </c>
      <c r="C17" s="4">
        <v>1.5272799370917228E-2</v>
      </c>
      <c r="D17">
        <f t="shared" si="0"/>
        <v>6.1091197483668916E-3</v>
      </c>
      <c r="E17">
        <f t="shared" si="3"/>
        <v>6.1091197483668907E-3</v>
      </c>
      <c r="F17" s="10" t="s">
        <v>14</v>
      </c>
      <c r="H17">
        <f t="shared" si="2"/>
        <v>0.18327359245100672</v>
      </c>
      <c r="J17" s="16"/>
      <c r="K17" s="14"/>
      <c r="L17" s="14"/>
      <c r="M17" s="17"/>
    </row>
    <row r="18" spans="2:13" ht="15.75" x14ac:dyDescent="0.3">
      <c r="B18">
        <f t="shared" si="4"/>
        <v>13</v>
      </c>
      <c r="C18" s="4">
        <v>1.2218239496733781E-2</v>
      </c>
      <c r="D18">
        <f t="shared" si="0"/>
        <v>4.8872957986935131E-3</v>
      </c>
      <c r="E18">
        <f t="shared" si="3"/>
        <v>4.8872957986935122E-3</v>
      </c>
      <c r="F18" s="10" t="s">
        <v>14</v>
      </c>
      <c r="H18">
        <f t="shared" si="2"/>
        <v>0.15883711345753915</v>
      </c>
      <c r="J18" s="16"/>
      <c r="K18" s="14"/>
      <c r="L18" s="14"/>
      <c r="M18" s="17"/>
    </row>
    <row r="19" spans="2:13" ht="15.75" x14ac:dyDescent="0.3">
      <c r="B19">
        <f t="shared" si="4"/>
        <v>14</v>
      </c>
      <c r="C19" s="4">
        <v>9.7745915973870244E-3</v>
      </c>
      <c r="D19">
        <f t="shared" si="0"/>
        <v>3.9098366389548099E-3</v>
      </c>
      <c r="E19">
        <f t="shared" si="3"/>
        <v>3.9098366389548108E-3</v>
      </c>
      <c r="F19" s="10" t="s">
        <v>14</v>
      </c>
      <c r="H19">
        <f t="shared" si="2"/>
        <v>0.13684428236341833</v>
      </c>
      <c r="J19" s="16"/>
      <c r="K19" s="14"/>
      <c r="L19" s="14"/>
      <c r="M19" s="17"/>
    </row>
    <row r="20" spans="2:13" ht="15.75" x14ac:dyDescent="0.3">
      <c r="B20">
        <f t="shared" si="4"/>
        <v>15</v>
      </c>
      <c r="C20" s="4">
        <v>7.8196732779096216E-3</v>
      </c>
      <c r="D20">
        <f t="shared" si="0"/>
        <v>3.1278693111638487E-3</v>
      </c>
      <c r="E20">
        <f t="shared" si="3"/>
        <v>3.1278693111638492E-3</v>
      </c>
      <c r="F20" s="10" t="s">
        <v>14</v>
      </c>
      <c r="H20">
        <f t="shared" si="2"/>
        <v>0.11729509916864432</v>
      </c>
      <c r="J20" s="16"/>
      <c r="K20" s="14"/>
      <c r="L20" s="14"/>
      <c r="M20" s="17"/>
    </row>
    <row r="21" spans="2:13" ht="15.75" x14ac:dyDescent="0.3">
      <c r="B21">
        <f t="shared" si="4"/>
        <v>16</v>
      </c>
      <c r="C21" s="4">
        <v>6.2557386223276983E-3</v>
      </c>
      <c r="D21">
        <f t="shared" si="0"/>
        <v>2.5022954489310797E-3</v>
      </c>
      <c r="E21">
        <f t="shared" si="3"/>
        <v>2.5022954489310797E-3</v>
      </c>
      <c r="F21" s="10" t="s">
        <v>14</v>
      </c>
      <c r="H21">
        <f t="shared" si="2"/>
        <v>0.10009181795724317</v>
      </c>
      <c r="J21" s="16"/>
      <c r="K21" s="14"/>
      <c r="L21" s="14"/>
      <c r="M21" s="17"/>
    </row>
    <row r="22" spans="2:13" ht="15.75" x14ac:dyDescent="0.3">
      <c r="B22">
        <f t="shared" si="4"/>
        <v>17</v>
      </c>
      <c r="C22" s="4">
        <v>5.0045908978621594E-3</v>
      </c>
      <c r="D22">
        <f t="shared" si="0"/>
        <v>2.0018363591448639E-3</v>
      </c>
      <c r="E22">
        <f t="shared" si="3"/>
        <v>2.0018363591448643E-3</v>
      </c>
      <c r="F22" s="10" t="s">
        <v>14</v>
      </c>
      <c r="H22">
        <f t="shared" si="2"/>
        <v>8.5078045263656712E-2</v>
      </c>
      <c r="J22" s="16"/>
      <c r="K22" s="14"/>
      <c r="L22" s="14"/>
      <c r="M22" s="17"/>
    </row>
    <row r="23" spans="2:13" ht="15.75" x14ac:dyDescent="0.3">
      <c r="B23">
        <f t="shared" si="4"/>
        <v>18</v>
      </c>
      <c r="C23" s="4">
        <v>4.0036727182897287E-3</v>
      </c>
      <c r="D23">
        <f t="shared" si="0"/>
        <v>1.6014690873158916E-3</v>
      </c>
      <c r="E23">
        <f t="shared" si="3"/>
        <v>1.6014690873158916E-3</v>
      </c>
      <c r="F23" s="10" t="s">
        <v>14</v>
      </c>
      <c r="H23">
        <f t="shared" ref="H23:H40" si="5">B23*C23</f>
        <v>7.2066108929215111E-2</v>
      </c>
      <c r="J23" s="16"/>
      <c r="K23" s="14"/>
      <c r="L23" s="14"/>
      <c r="M23" s="17"/>
    </row>
    <row r="24" spans="2:13" ht="15.75" x14ac:dyDescent="0.3">
      <c r="B24">
        <f t="shared" si="4"/>
        <v>19</v>
      </c>
      <c r="C24" s="4">
        <v>3.2029381746317832E-3</v>
      </c>
      <c r="D24">
        <f t="shared" si="0"/>
        <v>1.2811752698527134E-3</v>
      </c>
      <c r="E24">
        <f t="shared" si="3"/>
        <v>1.2811752698527138E-3</v>
      </c>
      <c r="F24" s="10" t="s">
        <v>14</v>
      </c>
      <c r="H24">
        <f t="shared" si="5"/>
        <v>6.0855825318003882E-2</v>
      </c>
      <c r="J24" s="16"/>
      <c r="K24" s="14"/>
      <c r="L24" s="14"/>
      <c r="M24" s="17"/>
    </row>
    <row r="25" spans="2:13" ht="15.75" x14ac:dyDescent="0.3">
      <c r="B25">
        <f t="shared" si="4"/>
        <v>20</v>
      </c>
      <c r="C25" s="4">
        <v>2.5623505397054276E-3</v>
      </c>
      <c r="D25">
        <f t="shared" si="0"/>
        <v>1.0249402158821711E-3</v>
      </c>
      <c r="E25">
        <f t="shared" si="3"/>
        <v>1.0249402158821711E-3</v>
      </c>
      <c r="F25" s="10" t="s">
        <v>14</v>
      </c>
      <c r="H25">
        <f t="shared" si="5"/>
        <v>5.1247010794108552E-2</v>
      </c>
      <c r="J25" s="16"/>
      <c r="K25" s="14"/>
      <c r="L25" s="14"/>
      <c r="M25" s="17"/>
    </row>
    <row r="26" spans="2:13" ht="15.75" x14ac:dyDescent="0.3">
      <c r="B26">
        <f t="shared" si="4"/>
        <v>21</v>
      </c>
      <c r="C26" s="4">
        <v>2.0498804317643422E-3</v>
      </c>
      <c r="D26">
        <f t="shared" si="0"/>
        <v>8.1995217270573696E-4</v>
      </c>
      <c r="E26">
        <f t="shared" si="3"/>
        <v>8.1995217270573663E-4</v>
      </c>
      <c r="F26" s="10" t="s">
        <v>14</v>
      </c>
      <c r="H26">
        <f t="shared" si="5"/>
        <v>4.3047489067051185E-2</v>
      </c>
      <c r="J26" s="16"/>
      <c r="K26" s="14"/>
      <c r="L26" s="14"/>
      <c r="M26" s="17"/>
    </row>
    <row r="27" spans="2:13" ht="15.75" x14ac:dyDescent="0.3">
      <c r="B27">
        <f t="shared" si="4"/>
        <v>22</v>
      </c>
      <c r="C27" s="4">
        <v>1.6399043454114733E-3</v>
      </c>
      <c r="D27">
        <f t="shared" si="0"/>
        <v>6.5596173816458939E-4</v>
      </c>
      <c r="E27">
        <f t="shared" si="3"/>
        <v>6.5596173816458939E-4</v>
      </c>
      <c r="F27" s="10" t="s">
        <v>14</v>
      </c>
      <c r="H27">
        <f t="shared" si="5"/>
        <v>3.6077895599052411E-2</v>
      </c>
      <c r="J27" s="16"/>
      <c r="K27" s="14"/>
      <c r="L27" s="14"/>
      <c r="M27" s="17"/>
    </row>
    <row r="28" spans="2:13" ht="15.75" x14ac:dyDescent="0.3">
      <c r="B28">
        <f t="shared" si="4"/>
        <v>23</v>
      </c>
      <c r="C28" s="4">
        <v>1.3119234763291788E-3</v>
      </c>
      <c r="D28">
        <f t="shared" si="0"/>
        <v>5.2476939053167158E-4</v>
      </c>
      <c r="E28">
        <f t="shared" si="3"/>
        <v>5.2476939053167147E-4</v>
      </c>
      <c r="F28" s="10" t="s">
        <v>14</v>
      </c>
      <c r="H28">
        <f t="shared" si="5"/>
        <v>3.0174239955571114E-2</v>
      </c>
      <c r="J28" s="16"/>
      <c r="K28" s="14"/>
      <c r="L28" s="14"/>
      <c r="M28" s="17"/>
    </row>
    <row r="29" spans="2:13" ht="15.75" x14ac:dyDescent="0.3">
      <c r="B29">
        <f t="shared" si="4"/>
        <v>24</v>
      </c>
      <c r="C29" s="4">
        <v>1.0495387810633429E-3</v>
      </c>
      <c r="D29">
        <f t="shared" si="0"/>
        <v>4.1981551242533722E-4</v>
      </c>
      <c r="E29">
        <f t="shared" si="3"/>
        <v>4.1981551242533738E-4</v>
      </c>
      <c r="F29" s="10" t="s">
        <v>14</v>
      </c>
      <c r="H29">
        <f t="shared" si="5"/>
        <v>2.5188930745520231E-2</v>
      </c>
      <c r="J29" s="16"/>
      <c r="K29" s="14"/>
      <c r="L29" s="14"/>
      <c r="M29" s="17"/>
    </row>
    <row r="30" spans="2:13" ht="15.75" x14ac:dyDescent="0.3">
      <c r="B30">
        <f t="shared" si="4"/>
        <v>25</v>
      </c>
      <c r="C30" s="4">
        <v>8.3963102485067477E-4</v>
      </c>
      <c r="D30">
        <f t="shared" si="0"/>
        <v>3.3585240994026992E-4</v>
      </c>
      <c r="E30">
        <f t="shared" si="3"/>
        <v>3.3585240994026981E-4</v>
      </c>
      <c r="F30" s="10" t="s">
        <v>14</v>
      </c>
      <c r="H30">
        <f t="shared" si="5"/>
        <v>2.0990775621266868E-2</v>
      </c>
      <c r="J30" s="16"/>
      <c r="K30" s="14"/>
      <c r="L30" s="14"/>
      <c r="M30" s="17"/>
    </row>
    <row r="31" spans="2:13" ht="15.75" x14ac:dyDescent="0.3">
      <c r="B31">
        <f t="shared" si="4"/>
        <v>26</v>
      </c>
      <c r="C31" s="4">
        <v>6.7170481988053962E-4</v>
      </c>
      <c r="D31">
        <f t="shared" si="0"/>
        <v>2.6868192795221588E-4</v>
      </c>
      <c r="E31">
        <f t="shared" si="3"/>
        <v>2.6868192795221593E-4</v>
      </c>
      <c r="F31" s="10" t="s">
        <v>14</v>
      </c>
      <c r="H31">
        <f t="shared" si="5"/>
        <v>1.7464325316894031E-2</v>
      </c>
      <c r="J31" s="16"/>
      <c r="K31" s="14"/>
      <c r="L31" s="14"/>
      <c r="M31" s="17"/>
    </row>
    <row r="32" spans="2:13" ht="15.75" x14ac:dyDescent="0.3">
      <c r="B32">
        <f t="shared" si="4"/>
        <v>27</v>
      </c>
      <c r="C32" s="4">
        <v>5.3736385590443187E-4</v>
      </c>
      <c r="D32">
        <f t="shared" si="0"/>
        <v>2.1494554236177276E-4</v>
      </c>
      <c r="E32">
        <f t="shared" si="3"/>
        <v>2.1494554236177278E-4</v>
      </c>
      <c r="F32" s="10" t="s">
        <v>14</v>
      </c>
      <c r="H32">
        <f t="shared" si="5"/>
        <v>1.4508824109419661E-2</v>
      </c>
      <c r="J32" s="16"/>
      <c r="K32" s="14"/>
      <c r="L32" s="14"/>
      <c r="M32" s="17"/>
    </row>
    <row r="33" spans="2:13" ht="15.75" x14ac:dyDescent="0.3">
      <c r="B33">
        <f t="shared" si="4"/>
        <v>28</v>
      </c>
      <c r="C33" s="4">
        <v>4.2989108472354557E-4</v>
      </c>
      <c r="D33">
        <f t="shared" si="0"/>
        <v>1.7195643388941823E-4</v>
      </c>
      <c r="E33">
        <f t="shared" si="3"/>
        <v>1.7195643388941828E-4</v>
      </c>
      <c r="F33" s="10" t="s">
        <v>14</v>
      </c>
      <c r="H33">
        <f t="shared" si="5"/>
        <v>1.2036950372259277E-2</v>
      </c>
      <c r="J33" s="16"/>
      <c r="K33" s="14"/>
      <c r="L33" s="14"/>
      <c r="M33" s="17"/>
    </row>
    <row r="34" spans="2:13" ht="15.75" x14ac:dyDescent="0.3">
      <c r="B34">
        <f t="shared" si="4"/>
        <v>29</v>
      </c>
      <c r="C34" s="4">
        <v>3.4391286777883656E-4</v>
      </c>
      <c r="D34">
        <f t="shared" si="0"/>
        <v>1.3756514711153463E-4</v>
      </c>
      <c r="E34">
        <f t="shared" si="3"/>
        <v>1.375651471115346E-4</v>
      </c>
      <c r="F34" s="10" t="s">
        <v>14</v>
      </c>
      <c r="H34">
        <f t="shared" si="5"/>
        <v>9.97347316558626E-3</v>
      </c>
      <c r="J34" s="16"/>
      <c r="K34" s="14"/>
      <c r="L34" s="14"/>
      <c r="M34" s="17"/>
    </row>
    <row r="35" spans="2:13" ht="15.75" x14ac:dyDescent="0.3">
      <c r="B35">
        <f t="shared" si="4"/>
        <v>30</v>
      </c>
      <c r="C35" s="4">
        <v>2.751302942230692E-4</v>
      </c>
      <c r="D35">
        <f t="shared" si="0"/>
        <v>1.1005211768922769E-4</v>
      </c>
      <c r="E35">
        <f t="shared" si="3"/>
        <v>1.1005211768922769E-4</v>
      </c>
      <c r="F35" s="10" t="s">
        <v>14</v>
      </c>
      <c r="H35">
        <f t="shared" si="5"/>
        <v>8.2539088266920767E-3</v>
      </c>
      <c r="J35" s="16"/>
      <c r="K35" s="14"/>
      <c r="L35" s="14"/>
      <c r="M35" s="17"/>
    </row>
    <row r="36" spans="2:13" ht="15.75" x14ac:dyDescent="0.3">
      <c r="B36">
        <f t="shared" si="4"/>
        <v>31</v>
      </c>
      <c r="C36" s="4">
        <v>2.2010423537845538E-4</v>
      </c>
      <c r="D36">
        <f t="shared" si="0"/>
        <v>8.804169415138216E-5</v>
      </c>
      <c r="E36">
        <f t="shared" si="3"/>
        <v>8.8041694151382146E-5</v>
      </c>
      <c r="F36" s="10" t="s">
        <v>14</v>
      </c>
      <c r="H36">
        <f t="shared" si="5"/>
        <v>6.8232312967321171E-3</v>
      </c>
      <c r="J36" s="16"/>
      <c r="K36" s="14"/>
      <c r="L36" s="14"/>
      <c r="M36" s="17"/>
    </row>
    <row r="37" spans="2:13" ht="15.75" x14ac:dyDescent="0.3">
      <c r="B37">
        <f t="shared" si="4"/>
        <v>32</v>
      </c>
      <c r="C37" s="4">
        <v>1.7608338830276429E-4</v>
      </c>
      <c r="D37">
        <f t="shared" si="0"/>
        <v>7.0433355321105717E-5</v>
      </c>
      <c r="E37">
        <f t="shared" si="3"/>
        <v>7.0433355321105798E-5</v>
      </c>
      <c r="F37" s="10" t="s">
        <v>14</v>
      </c>
      <c r="H37">
        <f t="shared" si="5"/>
        <v>5.6346684256884574E-3</v>
      </c>
      <c r="J37" s="16"/>
      <c r="K37" s="14"/>
      <c r="L37" s="14"/>
      <c r="M37" s="17"/>
    </row>
    <row r="38" spans="2:13" ht="15.75" x14ac:dyDescent="0.3">
      <c r="B38">
        <f t="shared" si="4"/>
        <v>33</v>
      </c>
      <c r="C38" s="4">
        <v>1.408667106422116E-4</v>
      </c>
      <c r="D38">
        <f t="shared" si="0"/>
        <v>5.6346684256884639E-5</v>
      </c>
      <c r="E38">
        <f t="shared" si="3"/>
        <v>5.6346684256884612E-5</v>
      </c>
      <c r="F38" s="10" t="s">
        <v>14</v>
      </c>
      <c r="H38">
        <f t="shared" si="5"/>
        <v>4.6486014511929828E-3</v>
      </c>
      <c r="J38" s="16"/>
      <c r="K38" s="14"/>
      <c r="L38" s="14"/>
      <c r="M38" s="17"/>
    </row>
    <row r="39" spans="2:13" ht="15.75" x14ac:dyDescent="0.3">
      <c r="B39">
        <f t="shared" si="4"/>
        <v>34</v>
      </c>
      <c r="C39" s="4">
        <v>1.1269336851376922E-4</v>
      </c>
      <c r="D39">
        <f t="shared" si="0"/>
        <v>4.5077347405507691E-5</v>
      </c>
      <c r="E39">
        <f t="shared" si="3"/>
        <v>4.5077347405507711E-5</v>
      </c>
      <c r="F39" s="10" t="s">
        <v>14</v>
      </c>
      <c r="H39">
        <f t="shared" si="5"/>
        <v>3.8315745294681537E-3</v>
      </c>
      <c r="J39" s="16"/>
      <c r="K39" s="14"/>
      <c r="L39" s="14"/>
      <c r="M39" s="17"/>
    </row>
    <row r="40" spans="2:13" ht="15.75" x14ac:dyDescent="0.3">
      <c r="B40">
        <f t="shared" si="4"/>
        <v>35</v>
      </c>
      <c r="C40" s="4">
        <v>9.0154694811015422E-5</v>
      </c>
      <c r="D40">
        <f t="shared" si="0"/>
        <v>3.6061877924406173E-5</v>
      </c>
      <c r="E40">
        <f t="shared" si="3"/>
        <v>3.6061877924406153E-5</v>
      </c>
      <c r="F40" s="10" t="s">
        <v>14</v>
      </c>
      <c r="H40">
        <f t="shared" si="5"/>
        <v>3.1554143183855398E-3</v>
      </c>
      <c r="J40" s="16"/>
      <c r="K40" s="14"/>
      <c r="L40" s="14"/>
      <c r="M40" s="17"/>
    </row>
    <row r="41" spans="2:13" ht="15.75" x14ac:dyDescent="0.3">
      <c r="B41">
        <f t="shared" si="4"/>
        <v>36</v>
      </c>
      <c r="C41" s="4">
        <v>7.2123755848812305E-5</v>
      </c>
      <c r="D41">
        <f t="shared" si="0"/>
        <v>2.8849502339524925E-5</v>
      </c>
      <c r="E41">
        <f t="shared" si="3"/>
        <v>2.8849502339524932E-5</v>
      </c>
      <c r="F41" s="10" t="s">
        <v>14</v>
      </c>
      <c r="H41">
        <f t="shared" si="2"/>
        <v>2.5964552105572428E-3</v>
      </c>
      <c r="J41" s="16"/>
      <c r="K41" s="14"/>
      <c r="L41" s="14"/>
      <c r="M41" s="17"/>
    </row>
    <row r="42" spans="2:13" ht="15.75" x14ac:dyDescent="0.3">
      <c r="B42">
        <f t="shared" si="4"/>
        <v>37</v>
      </c>
      <c r="C42" s="4">
        <v>5.7699004679049863E-5</v>
      </c>
      <c r="D42">
        <f t="shared" si="0"/>
        <v>2.3079601871619947E-5</v>
      </c>
      <c r="E42">
        <f t="shared" si="3"/>
        <v>2.3079601873717766E-5</v>
      </c>
      <c r="F42" s="10" t="s">
        <v>14</v>
      </c>
      <c r="H42">
        <f t="shared" si="2"/>
        <v>2.1348631731248451E-3</v>
      </c>
      <c r="J42" s="16"/>
      <c r="K42" s="14"/>
      <c r="L42" s="14"/>
      <c r="M42" s="17"/>
    </row>
    <row r="43" spans="2:13" ht="15.75" x14ac:dyDescent="0.3">
      <c r="B43">
        <f t="shared" si="4"/>
        <v>38</v>
      </c>
      <c r="C43" s="4">
        <v>4.6159203747435532E-5</v>
      </c>
      <c r="D43">
        <f t="shared" si="0"/>
        <v>1.8463681498974213E-5</v>
      </c>
      <c r="E43">
        <f t="shared" si="3"/>
        <v>1.8463681512006584E-5</v>
      </c>
      <c r="F43" s="10" t="s">
        <v>14</v>
      </c>
      <c r="H43">
        <f t="shared" si="2"/>
        <v>1.7540497424025502E-3</v>
      </c>
      <c r="J43" s="16"/>
      <c r="K43" s="14"/>
      <c r="L43" s="14"/>
      <c r="M43" s="17"/>
    </row>
    <row r="44" spans="2:13" ht="15.75" x14ac:dyDescent="0.3">
      <c r="B44">
        <f t="shared" si="4"/>
        <v>39</v>
      </c>
      <c r="C44" s="4">
        <v>3.6927363024013168E-5</v>
      </c>
      <c r="D44">
        <f t="shared" si="0"/>
        <v>1.4770945209605268E-5</v>
      </c>
      <c r="E44">
        <f t="shared" si="3"/>
        <v>1.4770945745139227E-5</v>
      </c>
      <c r="F44" s="10" t="s">
        <v>14</v>
      </c>
      <c r="H44">
        <f t="shared" si="2"/>
        <v>1.4401671579365135E-3</v>
      </c>
      <c r="J44" s="16"/>
      <c r="L44" s="14"/>
      <c r="M44" s="17"/>
    </row>
    <row r="45" spans="2:13" x14ac:dyDescent="0.2">
      <c r="B45">
        <f t="shared" si="4"/>
        <v>40</v>
      </c>
      <c r="C45" s="4">
        <v>2.9541891490278453E-5</v>
      </c>
      <c r="H45">
        <f t="shared" si="2"/>
        <v>1.1816756596111381E-3</v>
      </c>
      <c r="J45" s="16"/>
      <c r="L45" s="14"/>
      <c r="M45" s="17"/>
    </row>
    <row r="46" spans="2:13" ht="15.75" x14ac:dyDescent="0.3">
      <c r="B46" s="2" t="s">
        <v>4</v>
      </c>
      <c r="C46" s="23">
        <f>SUM(C5:C45)</f>
        <v>0.99999999999999967</v>
      </c>
      <c r="G46" s="5" t="s">
        <v>5</v>
      </c>
      <c r="H46">
        <f>SUM(H5:H45)</f>
        <v>4.4396520976532212</v>
      </c>
      <c r="J46" s="22"/>
      <c r="L46" s="14"/>
      <c r="M46" s="17"/>
    </row>
    <row r="47" spans="2:13" x14ac:dyDescent="0.2">
      <c r="C47">
        <v>1</v>
      </c>
      <c r="G47" s="21" t="s">
        <v>8</v>
      </c>
      <c r="H47" s="18">
        <f>$K$47/$D$3</f>
        <v>11.111111111111112</v>
      </c>
      <c r="J47" s="22" t="s">
        <v>13</v>
      </c>
      <c r="K47">
        <f>Lq(D3,E3,F3)+D3/E3</f>
        <v>4.4444444444444455</v>
      </c>
      <c r="L47" s="14"/>
      <c r="M47" s="17"/>
    </row>
    <row r="48" spans="2:13" x14ac:dyDescent="0.2">
      <c r="C48" s="6">
        <f>C46-C47</f>
        <v>0</v>
      </c>
      <c r="G48" s="7" t="s">
        <v>18</v>
      </c>
      <c r="H48">
        <f>H46-D3/E3</f>
        <v>2.8396520976532211</v>
      </c>
      <c r="J48" s="21" t="s">
        <v>8</v>
      </c>
      <c r="K48" s="18">
        <f>$K$47/$D$3</f>
        <v>11.111111111111112</v>
      </c>
      <c r="L48" s="18"/>
      <c r="M48" s="19"/>
    </row>
    <row r="49" spans="10:11" x14ac:dyDescent="0.2">
      <c r="J49" s="7" t="s">
        <v>18</v>
      </c>
      <c r="K49">
        <f>K47-D3/E3</f>
        <v>2.8444444444444454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ul1"/>
  <dimension ref="A1:V21"/>
  <sheetViews>
    <sheetView tabSelected="1" workbookViewId="0">
      <selection activeCell="F19" sqref="F19"/>
    </sheetView>
  </sheetViews>
  <sheetFormatPr defaultRowHeight="12.75" x14ac:dyDescent="0.2"/>
  <cols>
    <col min="11" max="11" width="12.42578125" bestFit="1" customWidth="1"/>
    <col min="267" max="267" width="12.42578125" bestFit="1" customWidth="1"/>
    <col min="523" max="523" width="12.42578125" bestFit="1" customWidth="1"/>
    <col min="779" max="779" width="12.42578125" bestFit="1" customWidth="1"/>
    <col min="1035" max="1035" width="12.42578125" bestFit="1" customWidth="1"/>
    <col min="1291" max="1291" width="12.42578125" bestFit="1" customWidth="1"/>
    <col min="1547" max="1547" width="12.42578125" bestFit="1" customWidth="1"/>
    <col min="1803" max="1803" width="12.42578125" bestFit="1" customWidth="1"/>
    <col min="2059" max="2059" width="12.42578125" bestFit="1" customWidth="1"/>
    <col min="2315" max="2315" width="12.42578125" bestFit="1" customWidth="1"/>
    <col min="2571" max="2571" width="12.42578125" bestFit="1" customWidth="1"/>
    <col min="2827" max="2827" width="12.42578125" bestFit="1" customWidth="1"/>
    <col min="3083" max="3083" width="12.42578125" bestFit="1" customWidth="1"/>
    <col min="3339" max="3339" width="12.42578125" bestFit="1" customWidth="1"/>
    <col min="3595" max="3595" width="12.42578125" bestFit="1" customWidth="1"/>
    <col min="3851" max="3851" width="12.42578125" bestFit="1" customWidth="1"/>
    <col min="4107" max="4107" width="12.42578125" bestFit="1" customWidth="1"/>
    <col min="4363" max="4363" width="12.42578125" bestFit="1" customWidth="1"/>
    <col min="4619" max="4619" width="12.42578125" bestFit="1" customWidth="1"/>
    <col min="4875" max="4875" width="12.42578125" bestFit="1" customWidth="1"/>
    <col min="5131" max="5131" width="12.42578125" bestFit="1" customWidth="1"/>
    <col min="5387" max="5387" width="12.42578125" bestFit="1" customWidth="1"/>
    <col min="5643" max="5643" width="12.42578125" bestFit="1" customWidth="1"/>
    <col min="5899" max="5899" width="12.42578125" bestFit="1" customWidth="1"/>
    <col min="6155" max="6155" width="12.42578125" bestFit="1" customWidth="1"/>
    <col min="6411" max="6411" width="12.42578125" bestFit="1" customWidth="1"/>
    <col min="6667" max="6667" width="12.42578125" bestFit="1" customWidth="1"/>
    <col min="6923" max="6923" width="12.42578125" bestFit="1" customWidth="1"/>
    <col min="7179" max="7179" width="12.42578125" bestFit="1" customWidth="1"/>
    <col min="7435" max="7435" width="12.42578125" bestFit="1" customWidth="1"/>
    <col min="7691" max="7691" width="12.42578125" bestFit="1" customWidth="1"/>
    <col min="7947" max="7947" width="12.42578125" bestFit="1" customWidth="1"/>
    <col min="8203" max="8203" width="12.42578125" bestFit="1" customWidth="1"/>
    <col min="8459" max="8459" width="12.42578125" bestFit="1" customWidth="1"/>
    <col min="8715" max="8715" width="12.42578125" bestFit="1" customWidth="1"/>
    <col min="8971" max="8971" width="12.42578125" bestFit="1" customWidth="1"/>
    <col min="9227" max="9227" width="12.42578125" bestFit="1" customWidth="1"/>
    <col min="9483" max="9483" width="12.42578125" bestFit="1" customWidth="1"/>
    <col min="9739" max="9739" width="12.42578125" bestFit="1" customWidth="1"/>
    <col min="9995" max="9995" width="12.42578125" bestFit="1" customWidth="1"/>
    <col min="10251" max="10251" width="12.42578125" bestFit="1" customWidth="1"/>
    <col min="10507" max="10507" width="12.42578125" bestFit="1" customWidth="1"/>
    <col min="10763" max="10763" width="12.42578125" bestFit="1" customWidth="1"/>
    <col min="11019" max="11019" width="12.42578125" bestFit="1" customWidth="1"/>
    <col min="11275" max="11275" width="12.42578125" bestFit="1" customWidth="1"/>
    <col min="11531" max="11531" width="12.42578125" bestFit="1" customWidth="1"/>
    <col min="11787" max="11787" width="12.42578125" bestFit="1" customWidth="1"/>
    <col min="12043" max="12043" width="12.42578125" bestFit="1" customWidth="1"/>
    <col min="12299" max="12299" width="12.42578125" bestFit="1" customWidth="1"/>
    <col min="12555" max="12555" width="12.42578125" bestFit="1" customWidth="1"/>
    <col min="12811" max="12811" width="12.42578125" bestFit="1" customWidth="1"/>
    <col min="13067" max="13067" width="12.42578125" bestFit="1" customWidth="1"/>
    <col min="13323" max="13323" width="12.42578125" bestFit="1" customWidth="1"/>
    <col min="13579" max="13579" width="12.42578125" bestFit="1" customWidth="1"/>
    <col min="13835" max="13835" width="12.42578125" bestFit="1" customWidth="1"/>
    <col min="14091" max="14091" width="12.42578125" bestFit="1" customWidth="1"/>
    <col min="14347" max="14347" width="12.42578125" bestFit="1" customWidth="1"/>
    <col min="14603" max="14603" width="12.42578125" bestFit="1" customWidth="1"/>
    <col min="14859" max="14859" width="12.42578125" bestFit="1" customWidth="1"/>
    <col min="15115" max="15115" width="12.42578125" bestFit="1" customWidth="1"/>
    <col min="15371" max="15371" width="12.42578125" bestFit="1" customWidth="1"/>
    <col min="15627" max="15627" width="12.42578125" bestFit="1" customWidth="1"/>
    <col min="15883" max="15883" width="12.42578125" bestFit="1" customWidth="1"/>
    <col min="16139" max="16139" width="12.42578125" bestFit="1" customWidth="1"/>
  </cols>
  <sheetData>
    <row r="1" spans="1:22" x14ac:dyDescent="0.2">
      <c r="A1" s="25" t="s">
        <v>22</v>
      </c>
    </row>
    <row r="2" spans="1:22" ht="15.75" x14ac:dyDescent="0.25">
      <c r="A2" s="25" t="s">
        <v>23</v>
      </c>
      <c r="J2" s="30" t="s">
        <v>0</v>
      </c>
      <c r="K2" s="26">
        <f>K3*K4*K5</f>
        <v>1.1102230246251565E-14</v>
      </c>
      <c r="L2" s="26">
        <f t="shared" ref="L2:U2" si="0">L3*L4*L5</f>
        <v>8.0000000000000107</v>
      </c>
      <c r="M2" s="26">
        <f t="shared" si="0"/>
        <v>16.000000000000011</v>
      </c>
      <c r="N2" s="26">
        <f t="shared" si="0"/>
        <v>24.000000000000014</v>
      </c>
      <c r="O2" s="26">
        <f t="shared" si="0"/>
        <v>32.000000000000014</v>
      </c>
      <c r="P2" s="26">
        <f t="shared" si="0"/>
        <v>40.000000000000007</v>
      </c>
      <c r="Q2" s="26">
        <f t="shared" si="0"/>
        <v>48.000000000000007</v>
      </c>
      <c r="R2" s="26">
        <f t="shared" si="0"/>
        <v>56.000000000000007</v>
      </c>
      <c r="S2" s="26">
        <f t="shared" si="0"/>
        <v>64</v>
      </c>
      <c r="T2" s="26">
        <f t="shared" si="0"/>
        <v>72</v>
      </c>
      <c r="U2" s="26">
        <f t="shared" si="0"/>
        <v>76</v>
      </c>
      <c r="V2" s="26">
        <f>V3*V4*V5</f>
        <v>78.400000000000006</v>
      </c>
    </row>
    <row r="3" spans="1:22" ht="15.75" x14ac:dyDescent="0.25">
      <c r="B3" t="s">
        <v>24</v>
      </c>
      <c r="J3" s="30" t="s">
        <v>1</v>
      </c>
      <c r="K3" s="26">
        <v>40</v>
      </c>
      <c r="L3" s="26">
        <v>40</v>
      </c>
      <c r="M3" s="26">
        <v>40</v>
      </c>
      <c r="N3" s="26">
        <v>40</v>
      </c>
      <c r="O3" s="26">
        <v>40</v>
      </c>
      <c r="P3" s="26">
        <v>40</v>
      </c>
      <c r="Q3" s="26">
        <v>40</v>
      </c>
      <c r="R3" s="26">
        <v>40</v>
      </c>
      <c r="S3" s="26">
        <v>40</v>
      </c>
      <c r="T3" s="26">
        <v>40</v>
      </c>
      <c r="U3" s="26">
        <v>40</v>
      </c>
      <c r="V3" s="26">
        <v>40</v>
      </c>
    </row>
    <row r="4" spans="1:22" ht="15" x14ac:dyDescent="0.2">
      <c r="B4" t="s">
        <v>25</v>
      </c>
      <c r="J4" s="34" t="s">
        <v>15</v>
      </c>
      <c r="K4" s="26">
        <v>2</v>
      </c>
      <c r="L4" s="26">
        <v>2</v>
      </c>
      <c r="M4" s="26">
        <v>2</v>
      </c>
      <c r="N4" s="26">
        <v>2</v>
      </c>
      <c r="O4" s="26">
        <v>2</v>
      </c>
      <c r="P4" s="26">
        <v>2</v>
      </c>
      <c r="Q4" s="26">
        <v>2</v>
      </c>
      <c r="R4" s="26">
        <v>2</v>
      </c>
      <c r="S4" s="26">
        <v>2</v>
      </c>
      <c r="T4" s="26">
        <v>2</v>
      </c>
      <c r="U4" s="26">
        <v>2</v>
      </c>
      <c r="V4" s="26">
        <v>2</v>
      </c>
    </row>
    <row r="5" spans="1:22" ht="15.75" x14ac:dyDescent="0.25">
      <c r="B5" t="s">
        <v>26</v>
      </c>
      <c r="J5" s="37" t="s">
        <v>17</v>
      </c>
      <c r="K5" s="26">
        <f t="shared" ref="K5:R5" si="1">L5-0.1</f>
        <v>1.3877787807814457E-16</v>
      </c>
      <c r="L5" s="26">
        <f t="shared" si="1"/>
        <v>0.10000000000000014</v>
      </c>
      <c r="M5" s="26">
        <f t="shared" si="1"/>
        <v>0.20000000000000015</v>
      </c>
      <c r="N5" s="26">
        <f t="shared" si="1"/>
        <v>0.30000000000000016</v>
      </c>
      <c r="O5" s="26">
        <f t="shared" si="1"/>
        <v>0.40000000000000013</v>
      </c>
      <c r="P5" s="26">
        <f t="shared" si="1"/>
        <v>0.50000000000000011</v>
      </c>
      <c r="Q5" s="26">
        <f t="shared" si="1"/>
        <v>0.60000000000000009</v>
      </c>
      <c r="R5" s="26">
        <f t="shared" si="1"/>
        <v>0.70000000000000007</v>
      </c>
      <c r="S5" s="26">
        <f>T5-0.1</f>
        <v>0.8</v>
      </c>
      <c r="T5" s="26">
        <v>0.9</v>
      </c>
      <c r="U5" s="26">
        <v>0.95</v>
      </c>
      <c r="V5" s="26">
        <v>0.98</v>
      </c>
    </row>
    <row r="6" spans="1:22" ht="15.75" x14ac:dyDescent="0.25">
      <c r="J6" s="30" t="s">
        <v>18</v>
      </c>
      <c r="K6" s="26">
        <f>Lq(K2,K3,K4)</f>
        <v>5.3455294201843919E-48</v>
      </c>
      <c r="L6" s="26">
        <f t="shared" ref="L6:U6" si="2">Lq(L2,L3,L4)</f>
        <v>2.0202020202020284E-3</v>
      </c>
      <c r="M6" s="26">
        <f t="shared" si="2"/>
        <v>1.6666666666666701E-2</v>
      </c>
      <c r="N6" s="26">
        <f t="shared" si="2"/>
        <v>5.9340659340659435E-2</v>
      </c>
      <c r="O6" s="26">
        <f t="shared" si="2"/>
        <v>0.15238095238095262</v>
      </c>
      <c r="P6" s="26">
        <f t="shared" si="2"/>
        <v>0.33333333333333354</v>
      </c>
      <c r="Q6" s="26">
        <f t="shared" si="2"/>
        <v>0.67500000000000049</v>
      </c>
      <c r="R6" s="26">
        <f t="shared" si="2"/>
        <v>1.345098039215687</v>
      </c>
      <c r="S6" s="26">
        <f t="shared" si="2"/>
        <v>2.8444444444444446</v>
      </c>
      <c r="T6" s="26">
        <f t="shared" si="2"/>
        <v>7.6736842105263161</v>
      </c>
      <c r="U6" s="26">
        <f t="shared" si="2"/>
        <v>17.587179487179487</v>
      </c>
      <c r="V6" s="26">
        <f>Lq(V2,V3,V4)</f>
        <v>47.534949494949679</v>
      </c>
    </row>
    <row r="7" spans="1:22" ht="16.5" thickBot="1" x14ac:dyDescent="0.3">
      <c r="B7" s="27" t="s">
        <v>21</v>
      </c>
      <c r="C7" s="13"/>
      <c r="E7" t="s">
        <v>31</v>
      </c>
      <c r="J7" s="30" t="s">
        <v>19</v>
      </c>
      <c r="K7">
        <f>K6+K2/K3</f>
        <v>2.7755575615628914E-16</v>
      </c>
      <c r="L7">
        <f t="shared" ref="L7:V7" si="3">L6+L2/L3</f>
        <v>0.20202020202020229</v>
      </c>
      <c r="M7">
        <f t="shared" si="3"/>
        <v>0.41666666666666696</v>
      </c>
      <c r="N7">
        <f t="shared" si="3"/>
        <v>0.65934065934065977</v>
      </c>
      <c r="O7">
        <f t="shared" si="3"/>
        <v>0.95238095238095299</v>
      </c>
      <c r="P7">
        <f t="shared" si="3"/>
        <v>1.3333333333333337</v>
      </c>
      <c r="Q7">
        <f t="shared" si="3"/>
        <v>1.8750000000000007</v>
      </c>
      <c r="R7">
        <f t="shared" si="3"/>
        <v>2.7450980392156872</v>
      </c>
      <c r="S7">
        <f t="shared" si="3"/>
        <v>4.4444444444444446</v>
      </c>
      <c r="T7">
        <f t="shared" si="3"/>
        <v>9.4736842105263168</v>
      </c>
      <c r="U7">
        <f t="shared" si="3"/>
        <v>19.487179487179485</v>
      </c>
      <c r="V7">
        <f t="shared" si="3"/>
        <v>49.49494949494968</v>
      </c>
    </row>
    <row r="8" spans="1:22" ht="15.75" x14ac:dyDescent="0.25">
      <c r="B8" s="28" t="s">
        <v>0</v>
      </c>
      <c r="C8" s="29">
        <v>0.4</v>
      </c>
      <c r="E8">
        <f>1/C8</f>
        <v>2.5</v>
      </c>
      <c r="J8" s="30" t="s">
        <v>20</v>
      </c>
      <c r="K8">
        <f>K7/K2</f>
        <v>2.5000000000000001E-2</v>
      </c>
      <c r="L8">
        <f t="shared" ref="L8:V8" si="4">L7/L2</f>
        <v>2.5252525252525252E-2</v>
      </c>
      <c r="M8">
        <f t="shared" si="4"/>
        <v>2.6041666666666668E-2</v>
      </c>
      <c r="N8">
        <f t="shared" si="4"/>
        <v>2.7472527472527476E-2</v>
      </c>
      <c r="O8">
        <f t="shared" si="4"/>
        <v>2.9761904761904767E-2</v>
      </c>
      <c r="P8">
        <f t="shared" si="4"/>
        <v>3.333333333333334E-2</v>
      </c>
      <c r="Q8">
        <f t="shared" si="4"/>
        <v>3.9062500000000007E-2</v>
      </c>
      <c r="R8">
        <f t="shared" si="4"/>
        <v>4.9019607843137268E-2</v>
      </c>
      <c r="S8">
        <f t="shared" si="4"/>
        <v>6.9444444444444448E-2</v>
      </c>
      <c r="T8">
        <f t="shared" si="4"/>
        <v>0.13157894736842107</v>
      </c>
      <c r="U8">
        <f t="shared" si="4"/>
        <v>0.25641025641025639</v>
      </c>
      <c r="V8">
        <f t="shared" si="4"/>
        <v>0.6313131313131336</v>
      </c>
    </row>
    <row r="9" spans="1:22" ht="15.75" x14ac:dyDescent="0.25">
      <c r="B9" s="31" t="s">
        <v>1</v>
      </c>
      <c r="C9" s="40">
        <v>0.25</v>
      </c>
      <c r="E9">
        <f>1/C9</f>
        <v>4</v>
      </c>
      <c r="J9" s="30"/>
    </row>
    <row r="10" spans="1:22" ht="15.75" x14ac:dyDescent="0.25">
      <c r="B10" s="33" t="s">
        <v>15</v>
      </c>
      <c r="C10" s="32">
        <v>2</v>
      </c>
      <c r="J10" s="30" t="s">
        <v>0</v>
      </c>
      <c r="K10" s="26">
        <f t="shared" ref="K10:U10" si="5">K11*K12*K13</f>
        <v>1.1102230246251565E-14</v>
      </c>
      <c r="L10" s="26">
        <f t="shared" si="5"/>
        <v>8</v>
      </c>
      <c r="M10" s="26">
        <f t="shared" si="5"/>
        <v>16</v>
      </c>
      <c r="N10" s="26">
        <f t="shared" si="5"/>
        <v>24</v>
      </c>
      <c r="O10" s="26">
        <f t="shared" si="5"/>
        <v>32</v>
      </c>
      <c r="P10" s="26">
        <f t="shared" si="5"/>
        <v>40</v>
      </c>
      <c r="Q10" s="26">
        <f t="shared" si="5"/>
        <v>48</v>
      </c>
      <c r="R10" s="26">
        <f t="shared" si="5"/>
        <v>56</v>
      </c>
      <c r="S10" s="26">
        <f t="shared" si="5"/>
        <v>64</v>
      </c>
      <c r="T10" s="26">
        <f t="shared" si="5"/>
        <v>72</v>
      </c>
      <c r="U10" s="26">
        <f t="shared" si="5"/>
        <v>76</v>
      </c>
      <c r="V10" s="26">
        <f>V11*V12*V13</f>
        <v>78.400000000000006</v>
      </c>
    </row>
    <row r="11" spans="1:22" ht="15.75" x14ac:dyDescent="0.25">
      <c r="B11" s="35" t="s">
        <v>16</v>
      </c>
      <c r="C11" s="36">
        <f>P0(C8,C9,C10)</f>
        <v>0.11111111111111106</v>
      </c>
      <c r="E11" t="s">
        <v>32</v>
      </c>
      <c r="J11" s="30" t="s">
        <v>1</v>
      </c>
      <c r="K11" s="26">
        <v>20</v>
      </c>
      <c r="L11" s="26">
        <v>20</v>
      </c>
      <c r="M11" s="26">
        <v>20</v>
      </c>
      <c r="N11" s="26">
        <v>20</v>
      </c>
      <c r="O11" s="26">
        <v>20</v>
      </c>
      <c r="P11" s="26">
        <v>20</v>
      </c>
      <c r="Q11" s="26">
        <v>20</v>
      </c>
      <c r="R11" s="26">
        <v>20</v>
      </c>
      <c r="S11" s="26">
        <v>20</v>
      </c>
      <c r="T11" s="26">
        <v>20</v>
      </c>
      <c r="U11" s="26">
        <v>20</v>
      </c>
      <c r="V11" s="26">
        <v>20</v>
      </c>
    </row>
    <row r="12" spans="1:22" ht="15" x14ac:dyDescent="0.2">
      <c r="B12" s="38" t="s">
        <v>18</v>
      </c>
      <c r="C12" s="24">
        <f>Lq(C8,C9,C10)</f>
        <v>2.8444444444444454</v>
      </c>
      <c r="E12">
        <f>_xll.QTPMMS_Lq(C8,C9,C10)</f>
        <v>2.8444444443397234</v>
      </c>
      <c r="I12" s="26"/>
      <c r="J12" s="34" t="s">
        <v>15</v>
      </c>
      <c r="K12" s="26">
        <v>4</v>
      </c>
      <c r="L12" s="26">
        <v>4</v>
      </c>
      <c r="M12" s="26">
        <v>4</v>
      </c>
      <c r="N12" s="26">
        <v>4</v>
      </c>
      <c r="O12" s="26">
        <v>4</v>
      </c>
      <c r="P12" s="26">
        <v>4</v>
      </c>
      <c r="Q12" s="26">
        <v>4</v>
      </c>
      <c r="R12" s="26">
        <v>4</v>
      </c>
      <c r="S12" s="26">
        <v>4</v>
      </c>
      <c r="T12" s="26">
        <v>4</v>
      </c>
      <c r="U12" s="26">
        <v>4</v>
      </c>
      <c r="V12" s="26">
        <v>4</v>
      </c>
    </row>
    <row r="13" spans="1:22" ht="15.75" x14ac:dyDescent="0.25">
      <c r="E13" t="s">
        <v>35</v>
      </c>
      <c r="I13" s="26"/>
      <c r="J13" s="37" t="s">
        <v>17</v>
      </c>
      <c r="K13" s="26">
        <v>1.3877787807814457E-16</v>
      </c>
      <c r="L13" s="26">
        <v>0.1</v>
      </c>
      <c r="M13" s="26">
        <v>0.2</v>
      </c>
      <c r="N13" s="26">
        <v>0.3</v>
      </c>
      <c r="O13" s="26">
        <v>0.4</v>
      </c>
      <c r="P13" s="26">
        <v>0.5</v>
      </c>
      <c r="Q13" s="26">
        <v>0.6</v>
      </c>
      <c r="R13" s="26">
        <v>0.7</v>
      </c>
      <c r="S13" s="26">
        <v>0.8</v>
      </c>
      <c r="T13" s="26">
        <v>0.9</v>
      </c>
      <c r="U13" s="26">
        <v>0.95</v>
      </c>
      <c r="V13" s="26">
        <v>0.98</v>
      </c>
    </row>
    <row r="14" spans="1:22" ht="15.75" x14ac:dyDescent="0.25">
      <c r="B14" s="39" t="s">
        <v>19</v>
      </c>
      <c r="C14" s="23">
        <f>C12+C8/C9</f>
        <v>4.4444444444444455</v>
      </c>
      <c r="E14" t="s">
        <v>34</v>
      </c>
      <c r="I14" s="26"/>
      <c r="J14" s="30" t="s">
        <v>18</v>
      </c>
      <c r="K14" s="26">
        <f>Lq(K10,K11,K12)</f>
        <v>5.4907280954325634E-79</v>
      </c>
      <c r="L14" s="26">
        <f t="shared" ref="L14:U14" si="6">Lq(L10,L11,L12)</f>
        <v>8.8270991945272009E-5</v>
      </c>
      <c r="M14" s="26">
        <f t="shared" si="6"/>
        <v>2.3952095808383242E-3</v>
      </c>
      <c r="N14" s="26">
        <f t="shared" si="6"/>
        <v>1.5878461161480031E-2</v>
      </c>
      <c r="O14" s="26">
        <f t="shared" si="6"/>
        <v>6.0466489518748161E-2</v>
      </c>
      <c r="P14" s="26">
        <f t="shared" si="6"/>
        <v>0.17391304347826086</v>
      </c>
      <c r="Q14" s="26">
        <f t="shared" si="6"/>
        <v>0.43056478405315612</v>
      </c>
      <c r="R14" s="26">
        <f t="shared" si="6"/>
        <v>1.0001934092092539</v>
      </c>
      <c r="S14" s="26">
        <f t="shared" si="6"/>
        <v>2.3857298871496178</v>
      </c>
      <c r="T14" s="26">
        <f t="shared" si="6"/>
        <v>7.0897793786582612</v>
      </c>
      <c r="U14" s="26">
        <f t="shared" si="6"/>
        <v>16.936960908375799</v>
      </c>
      <c r="V14" s="26">
        <f>Lq(V10,V11,V12)</f>
        <v>46.84386653303266</v>
      </c>
    </row>
    <row r="15" spans="1:22" ht="15.75" x14ac:dyDescent="0.25">
      <c r="I15" s="26"/>
      <c r="J15" s="30" t="s">
        <v>19</v>
      </c>
      <c r="K15">
        <f t="shared" ref="K15:V15" si="7">K14+K10/K11</f>
        <v>5.5511151231257827E-16</v>
      </c>
      <c r="L15">
        <f t="shared" si="7"/>
        <v>0.40008827099194527</v>
      </c>
      <c r="M15">
        <f t="shared" si="7"/>
        <v>0.80239520958083832</v>
      </c>
      <c r="N15">
        <f t="shared" si="7"/>
        <v>1.2158784611614799</v>
      </c>
      <c r="O15">
        <f t="shared" si="7"/>
        <v>1.6604664895187482</v>
      </c>
      <c r="P15">
        <f t="shared" si="7"/>
        <v>2.1739130434782608</v>
      </c>
      <c r="Q15">
        <f t="shared" si="7"/>
        <v>2.830564784053156</v>
      </c>
      <c r="R15">
        <f t="shared" si="7"/>
        <v>3.8001934092092537</v>
      </c>
      <c r="S15">
        <f t="shared" si="7"/>
        <v>5.5857298871496184</v>
      </c>
      <c r="T15">
        <f t="shared" si="7"/>
        <v>10.689779378658262</v>
      </c>
      <c r="U15">
        <f t="shared" si="7"/>
        <v>20.736960908375799</v>
      </c>
      <c r="V15">
        <f t="shared" si="7"/>
        <v>50.763866533032662</v>
      </c>
    </row>
    <row r="16" spans="1:22" ht="15.75" x14ac:dyDescent="0.25">
      <c r="B16" s="39" t="s">
        <v>20</v>
      </c>
      <c r="C16">
        <f>C14/C8</f>
        <v>11.111111111111112</v>
      </c>
      <c r="I16" s="26"/>
      <c r="J16" s="30" t="s">
        <v>20</v>
      </c>
      <c r="K16">
        <f t="shared" ref="K16:V16" si="8">K15/K10</f>
        <v>0.05</v>
      </c>
      <c r="L16">
        <f t="shared" si="8"/>
        <v>5.0011033873993159E-2</v>
      </c>
      <c r="M16">
        <f t="shared" si="8"/>
        <v>5.0149700598802395E-2</v>
      </c>
      <c r="N16">
        <f t="shared" si="8"/>
        <v>5.0661602548394996E-2</v>
      </c>
      <c r="O16">
        <f t="shared" si="8"/>
        <v>5.1889577797460881E-2</v>
      </c>
      <c r="P16">
        <f t="shared" si="8"/>
        <v>5.434782608695652E-2</v>
      </c>
      <c r="Q16">
        <f t="shared" si="8"/>
        <v>5.8970099667774084E-2</v>
      </c>
      <c r="R16">
        <f t="shared" si="8"/>
        <v>6.786059659302239E-2</v>
      </c>
      <c r="S16">
        <f t="shared" si="8"/>
        <v>8.7277029486712787E-2</v>
      </c>
      <c r="T16">
        <f t="shared" si="8"/>
        <v>0.14846915803692029</v>
      </c>
      <c r="U16">
        <f t="shared" si="8"/>
        <v>0.2728547487944184</v>
      </c>
      <c r="V16">
        <f t="shared" si="8"/>
        <v>0.64749829761521249</v>
      </c>
    </row>
    <row r="17" spans="2:22" x14ac:dyDescent="0.2">
      <c r="B17" t="s">
        <v>30</v>
      </c>
      <c r="C17">
        <f>C12/C8</f>
        <v>7.1111111111111134</v>
      </c>
      <c r="I17" s="26"/>
      <c r="K17">
        <f>K16-K8</f>
        <v>2.5000000000000001E-2</v>
      </c>
      <c r="L17">
        <f t="shared" ref="L17:V17" si="9">L16-L8</f>
        <v>2.4758508621467907E-2</v>
      </c>
      <c r="M17">
        <f t="shared" si="9"/>
        <v>2.4108033932135727E-2</v>
      </c>
      <c r="N17">
        <f t="shared" si="9"/>
        <v>2.3189075075867521E-2</v>
      </c>
      <c r="O17">
        <f t="shared" si="9"/>
        <v>2.2127673035556114E-2</v>
      </c>
      <c r="P17">
        <f t="shared" si="9"/>
        <v>2.101449275362318E-2</v>
      </c>
      <c r="Q17">
        <f t="shared" si="9"/>
        <v>1.9907599667774077E-2</v>
      </c>
      <c r="R17">
        <f t="shared" si="9"/>
        <v>1.8840988749885122E-2</v>
      </c>
      <c r="S17">
        <f t="shared" si="9"/>
        <v>1.783258504226834E-2</v>
      </c>
      <c r="T17">
        <f t="shared" si="9"/>
        <v>1.6890210668499217E-2</v>
      </c>
      <c r="U17">
        <f t="shared" si="9"/>
        <v>1.6444492384162013E-2</v>
      </c>
      <c r="V17">
        <f t="shared" si="9"/>
        <v>1.6185166302078891E-2</v>
      </c>
    </row>
    <row r="18" spans="2:22" x14ac:dyDescent="0.2">
      <c r="I18" s="26"/>
    </row>
    <row r="19" spans="2:22" x14ac:dyDescent="0.2">
      <c r="B19" s="7" t="s">
        <v>33</v>
      </c>
      <c r="C19" s="23">
        <f>C14-C12</f>
        <v>1.6</v>
      </c>
    </row>
    <row r="21" spans="2:22" x14ac:dyDescent="0.2">
      <c r="B21" s="23"/>
      <c r="C21" s="23"/>
    </row>
  </sheetData>
  <pageMargins left="0.75" right="0.75" top="1" bottom="1" header="0.4921259845" footer="0.4921259845"/>
  <pageSetup paperSize="9"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MM1 balance</vt:lpstr>
      <vt:lpstr>MM2 balance</vt:lpstr>
      <vt:lpstr>MMS macro</vt:lpstr>
    </vt:vector>
  </TitlesOfParts>
  <Company>Aalto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Niemi Esko</dc:creator>
  <cp:lastModifiedBy>Niemi Esko</cp:lastModifiedBy>
  <dcterms:created xsi:type="dcterms:W3CDTF">2013-11-04T20:20:47Z</dcterms:created>
  <dcterms:modified xsi:type="dcterms:W3CDTF">2017-01-06T20:38:25Z</dcterms:modified>
</cp:coreProperties>
</file>